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PC\workspace\sales-report\"/>
    </mc:Choice>
  </mc:AlternateContent>
  <xr:revisionPtr revIDLastSave="0" documentId="13_ncr:1_{E1C9A189-44C0-43EB-A937-A44FA66276FD}" xr6:coauthVersionLast="47" xr6:coauthVersionMax="47" xr10:uidLastSave="{00000000-0000-0000-0000-000000000000}"/>
  <bookViews>
    <workbookView xWindow="-98" yWindow="-98" windowWidth="28996" windowHeight="15675" tabRatio="965" xr2:uid="{55DA5BA2-BEE6-49F4-B0DA-2FBFD92CF506}"/>
  </bookViews>
  <sheets>
    <sheet name="재무리포트_대시보드" sheetId="32" r:id="rId1"/>
    <sheet name="20~25년 정리표" sheetId="2" r:id="rId2"/>
    <sheet name="2020년-통장" sheetId="3" r:id="rId3"/>
    <sheet name="CASH FLOW-2020년" sheetId="9" r:id="rId4"/>
  </sheets>
  <functionGroups builtInGroupCount="19"/>
  <definedNames>
    <definedName name="_xlnm._FilterDatabase" localSheetId="2" hidden="1">'2020년-통장'!$A$2:$H$1693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9" l="1"/>
  <c r="P35" i="9"/>
  <c r="P32" i="9"/>
  <c r="P28" i="9"/>
  <c r="P25" i="9"/>
  <c r="P24" i="9"/>
  <c r="P23" i="9"/>
  <c r="P21" i="9"/>
  <c r="P19" i="9"/>
  <c r="P18" i="9"/>
  <c r="C17" i="9"/>
  <c r="C39" i="9" s="1"/>
  <c r="P16" i="9"/>
  <c r="P14" i="9"/>
  <c r="P13" i="9"/>
  <c r="P12" i="9"/>
  <c r="P11" i="9"/>
  <c r="P10" i="9"/>
  <c r="P8" i="9"/>
  <c r="C4" i="9"/>
  <c r="C7" i="9" s="1"/>
  <c r="B2086" i="3"/>
  <c r="D2085" i="3"/>
  <c r="D2086" i="3" s="1"/>
  <c r="C2085" i="3"/>
  <c r="D2073" i="3"/>
  <c r="D2069" i="3"/>
  <c r="C2069" i="3"/>
  <c r="D1870" i="3"/>
  <c r="C1701" i="3"/>
  <c r="K93" i="2"/>
  <c r="L101" i="2" s="1"/>
  <c r="G93" i="2"/>
  <c r="E93" i="2"/>
  <c r="C93" i="2"/>
  <c r="G95" i="2" s="1"/>
  <c r="K85" i="2"/>
  <c r="K76" i="2"/>
  <c r="L83" i="2" s="1"/>
  <c r="G76" i="2"/>
  <c r="E76" i="2"/>
  <c r="C76" i="2"/>
  <c r="K59" i="2"/>
  <c r="L65" i="2" s="1"/>
  <c r="G59" i="2"/>
  <c r="E59" i="2"/>
  <c r="C59" i="2"/>
  <c r="G61" i="2" s="1"/>
  <c r="K42" i="2"/>
  <c r="L45" i="2" s="1"/>
  <c r="G42" i="2"/>
  <c r="E42" i="2"/>
  <c r="C42" i="2"/>
  <c r="I42" i="2" s="1"/>
  <c r="K25" i="2"/>
  <c r="L27" i="2" s="1"/>
  <c r="G25" i="2"/>
  <c r="E25" i="2"/>
  <c r="C25" i="2"/>
  <c r="K8" i="2"/>
  <c r="L16" i="2" s="1"/>
  <c r="G8" i="2"/>
  <c r="E8" i="2"/>
  <c r="C8" i="2"/>
  <c r="I8" i="2" l="1"/>
  <c r="G43" i="2"/>
  <c r="L84" i="2"/>
  <c r="G60" i="2"/>
  <c r="G27" i="2"/>
  <c r="G78" i="2"/>
  <c r="C41" i="9"/>
  <c r="E2085" i="3"/>
  <c r="E2086" i="3" s="1"/>
  <c r="G77" i="2"/>
  <c r="L67" i="2"/>
  <c r="L66" i="2"/>
  <c r="L50" i="2"/>
  <c r="L47" i="2"/>
  <c r="L48" i="2"/>
  <c r="L49" i="2"/>
  <c r="L46" i="2"/>
  <c r="G26" i="2"/>
  <c r="L30" i="2"/>
  <c r="L33" i="2"/>
  <c r="L29" i="2"/>
  <c r="L32" i="2"/>
  <c r="L28" i="2"/>
  <c r="L31" i="2"/>
  <c r="G9" i="2"/>
  <c r="G94" i="2"/>
  <c r="P33" i="9"/>
  <c r="P38" i="9" s="1"/>
  <c r="D7" i="9"/>
  <c r="P9" i="9"/>
  <c r="P17" i="9" s="1"/>
  <c r="C2086" i="3"/>
  <c r="I59" i="2"/>
  <c r="L95" i="2"/>
  <c r="L15" i="2"/>
  <c r="I93" i="2"/>
  <c r="I76" i="2"/>
  <c r="I25" i="2"/>
  <c r="L77" i="2"/>
  <c r="L98" i="2"/>
  <c r="M8" i="2"/>
  <c r="B18" i="2" s="1"/>
  <c r="M25" i="2" s="1"/>
  <c r="B35" i="2" s="1"/>
  <c r="M42" i="2" s="1"/>
  <c r="B52" i="2" s="1"/>
  <c r="M59" i="2" s="1"/>
  <c r="B69" i="2" s="1"/>
  <c r="M76" i="2" s="1"/>
  <c r="B86" i="2" s="1"/>
  <c r="L26" i="2"/>
  <c r="G44" i="2"/>
  <c r="L62" i="2"/>
  <c r="L80" i="2"/>
  <c r="L99" i="2"/>
  <c r="L94" i="2"/>
  <c r="L78" i="2"/>
  <c r="L79" i="2"/>
  <c r="L44" i="2"/>
  <c r="L63" i="2"/>
  <c r="L81" i="2"/>
  <c r="L100" i="2"/>
  <c r="L60" i="2"/>
  <c r="L96" i="2"/>
  <c r="L97" i="2"/>
  <c r="L43" i="2"/>
  <c r="L61" i="2"/>
  <c r="L9" i="2"/>
  <c r="L64" i="2"/>
  <c r="L82" i="2"/>
  <c r="P39" i="9" l="1"/>
  <c r="P41" i="9" s="1"/>
  <c r="E7" i="9"/>
  <c r="F7" i="9" s="1"/>
  <c r="G7" i="9" s="1"/>
  <c r="H7" i="9" s="1"/>
  <c r="I7" i="9" s="1"/>
  <c r="J7" i="9" s="1"/>
  <c r="K7" i="9" s="1"/>
  <c r="L7" i="9" s="1"/>
  <c r="M7" i="9" s="1"/>
  <c r="N7" i="9" s="1"/>
  <c r="O7" i="9" s="1"/>
  <c r="D2035" i="3"/>
  <c r="D1700" i="3"/>
  <c r="D218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98" authorId="0" shapeId="0" xr:uid="{49334A02-E6EA-477F-BCAA-3B1F9F3DB59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김태희소득세예수제외
</t>
        </r>
      </text>
    </comment>
  </commentList>
</comments>
</file>

<file path=xl/sharedStrings.xml><?xml version="1.0" encoding="utf-8"?>
<sst xmlns="http://schemas.openxmlformats.org/spreadsheetml/2006/main" count="6323" uniqueCount="1132">
  <si>
    <t>전기이월</t>
    <phoneticPr fontId="2" type="noConversion"/>
  </si>
  <si>
    <t>2020년</t>
    <phoneticPr fontId="2" type="noConversion"/>
  </si>
  <si>
    <t>1월</t>
    <phoneticPr fontId="2" type="noConversion"/>
  </si>
  <si>
    <t>2월</t>
  </si>
  <si>
    <t>3월</t>
  </si>
  <si>
    <t>4월</t>
  </si>
  <si>
    <t>5월</t>
  </si>
  <si>
    <t>6월</t>
  </si>
  <si>
    <t>7월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</si>
  <si>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</si>
  <si>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</si>
  <si>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</si>
  <si>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</si>
  <si>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</si>
  <si>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매출입금</t>
    <phoneticPr fontId="2" type="noConversion"/>
  </si>
  <si>
    <t>기타입금</t>
    <phoneticPr fontId="2" type="noConversion"/>
  </si>
  <si>
    <t>비용결재</t>
  </si>
  <si>
    <t>외상대 결재</t>
    <phoneticPr fontId="2" type="noConversion"/>
  </si>
  <si>
    <t>내역</t>
    <phoneticPr fontId="2" type="noConversion"/>
  </si>
  <si>
    <t>매출합계</t>
    <phoneticPr fontId="2" type="noConversion"/>
  </si>
  <si>
    <t>매입합계(당월)</t>
    <phoneticPr fontId="2" type="noConversion"/>
  </si>
  <si>
    <t>입금-매입합계</t>
    <phoneticPr fontId="2" type="noConversion"/>
  </si>
  <si>
    <t>비용결재</t>
    <phoneticPr fontId="2" type="noConversion"/>
  </si>
  <si>
    <t>잔액</t>
    <phoneticPr fontId="2" type="noConversion"/>
  </si>
  <si>
    <t>예금해지</t>
    <phoneticPr fontId="2" type="noConversion"/>
  </si>
  <si>
    <t>급여및고정</t>
    <phoneticPr fontId="2" type="noConversion"/>
  </si>
  <si>
    <t xml:space="preserve">부가세외 </t>
    <phoneticPr fontId="2" type="noConversion"/>
  </si>
  <si>
    <t>매출-매입금액</t>
    <phoneticPr fontId="2" type="noConversion"/>
  </si>
  <si>
    <t>예적금</t>
    <phoneticPr fontId="2" type="noConversion"/>
  </si>
  <si>
    <t>대여금</t>
    <phoneticPr fontId="2" type="noConversion"/>
  </si>
  <si>
    <t>운반비</t>
    <phoneticPr fontId="2" type="noConversion"/>
  </si>
  <si>
    <t>합계</t>
    <phoneticPr fontId="2" type="noConversion"/>
  </si>
  <si>
    <t>2021년</t>
    <phoneticPr fontId="2" type="noConversion"/>
  </si>
  <si>
    <t>예금/대여회수</t>
    <phoneticPr fontId="2" type="noConversion"/>
  </si>
  <si>
    <t>급여및고정</t>
  </si>
  <si>
    <t>고정자산(차량)외</t>
  </si>
  <si>
    <t>법인카드및 기타</t>
  </si>
  <si>
    <t>세금</t>
  </si>
  <si>
    <t>수수료,시험</t>
  </si>
  <si>
    <t>2022년</t>
    <phoneticPr fontId="2" type="noConversion"/>
  </si>
  <si>
    <t>예금/대여회수</t>
  </si>
  <si>
    <t xml:space="preserve">부가세외 </t>
  </si>
  <si>
    <t>회원탈퇴</t>
  </si>
  <si>
    <t>대여금</t>
  </si>
  <si>
    <t>운반비</t>
  </si>
  <si>
    <t>2023년</t>
    <phoneticPr fontId="2" type="noConversion"/>
  </si>
  <si>
    <t>2024년</t>
    <phoneticPr fontId="2" type="noConversion"/>
  </si>
  <si>
    <t>대출금</t>
    <phoneticPr fontId="2" type="noConversion"/>
  </si>
  <si>
    <t>2025년</t>
    <phoneticPr fontId="2" type="noConversion"/>
  </si>
  <si>
    <t>소득세예수</t>
    <phoneticPr fontId="2" type="noConversion"/>
  </si>
  <si>
    <t>2020년</t>
    <phoneticPr fontId="7" type="noConversion"/>
  </si>
  <si>
    <t>날짜</t>
  </si>
  <si>
    <t>적요</t>
  </si>
  <si>
    <t>입금액</t>
  </si>
  <si>
    <t>출금액</t>
  </si>
  <si>
    <t>내용</t>
  </si>
  <si>
    <t>구분</t>
  </si>
  <si>
    <t>상세내용</t>
  </si>
  <si>
    <t>유동</t>
  </si>
  <si>
    <t>기타</t>
  </si>
  <si>
    <t>고정</t>
  </si>
  <si>
    <t>임차료</t>
  </si>
  <si>
    <t>고정</t>
    <phoneticPr fontId="7" type="noConversion"/>
  </si>
  <si>
    <t>외상매입금</t>
    <phoneticPr fontId="7" type="noConversion"/>
  </si>
  <si>
    <t>기타</t>
    <phoneticPr fontId="7" type="noConversion"/>
  </si>
  <si>
    <t>급여</t>
  </si>
  <si>
    <t>시험성적료</t>
  </si>
  <si>
    <t>수수료</t>
  </si>
  <si>
    <t>외상매출</t>
    <phoneticPr fontId="7" type="noConversion"/>
  </si>
  <si>
    <t>보증료</t>
  </si>
  <si>
    <t>통신비</t>
  </si>
  <si>
    <t>임대료</t>
  </si>
  <si>
    <t>사무용품</t>
  </si>
  <si>
    <t>금융상품</t>
  </si>
  <si>
    <t>여비교통비</t>
  </si>
  <si>
    <t>광고선전비</t>
  </si>
  <si>
    <t>도서인쇄</t>
  </si>
  <si>
    <t>전기</t>
  </si>
  <si>
    <t>협회비</t>
  </si>
  <si>
    <t>고정자산</t>
    <phoneticPr fontId="7" type="noConversion"/>
  </si>
  <si>
    <t>기부금</t>
  </si>
  <si>
    <t>보험료</t>
  </si>
  <si>
    <t>외상매입금</t>
  </si>
  <si>
    <t>수원-고색중보들 선급금보증</t>
  </si>
  <si>
    <t>수원-고색중보들 선금 입금</t>
  </si>
  <si>
    <t>시스템시험 중도금</t>
  </si>
  <si>
    <t>하남유니온파크 바닥공사 입금</t>
  </si>
  <si>
    <t>동해 전용축구장 입금</t>
  </si>
  <si>
    <t>춘천폴리텍 지붕위 인조잔디 배송</t>
  </si>
  <si>
    <t>신월근린공원 하자증권</t>
  </si>
  <si>
    <t>홍천-잿골체육공원 하자증권</t>
  </si>
  <si>
    <t>신평면 풋살장 입금</t>
  </si>
  <si>
    <t>보령패러글라이딩 입금</t>
  </si>
  <si>
    <t>캡스</t>
  </si>
  <si>
    <t>보라동게이트볼장 하자증권</t>
  </si>
  <si>
    <t>코오롱 직원 식권비용</t>
  </si>
  <si>
    <t>관악산 둘레길 편의시설 보강공사 폐기물처리비용</t>
  </si>
  <si>
    <t>2020년 공원 시설물(국민연금공제)</t>
  </si>
  <si>
    <t>잿골체육공원 입금</t>
  </si>
  <si>
    <t>선불카드</t>
  </si>
  <si>
    <t>청학리게이트볼장 입금</t>
  </si>
  <si>
    <t>체육공원 풋살장(남부) 하자증권</t>
  </si>
  <si>
    <t>퇴직연금 운용자산 수수료</t>
  </si>
  <si>
    <t>2020년 공원시설물</t>
  </si>
  <si>
    <t>5월 노무비</t>
  </si>
  <si>
    <t>06-19</t>
  </si>
  <si>
    <t>06-20</t>
  </si>
  <si>
    <t>06-22</t>
  </si>
  <si>
    <t>06-23</t>
  </si>
  <si>
    <t xml:space="preserve">구항,은하 게이트볼장 하자증권 일자수정 환금(5/22-&gt;5/25)
</t>
  </si>
  <si>
    <t>2020년 시설물</t>
  </si>
  <si>
    <t>06-24</t>
  </si>
  <si>
    <t>06-25</t>
  </si>
  <si>
    <t>06-26</t>
  </si>
  <si>
    <t>06-29</t>
  </si>
  <si>
    <t>06-30</t>
  </si>
  <si>
    <t>외상매입</t>
  </si>
  <si>
    <t>태조산 청소년수련관 하자보증 환급</t>
  </si>
  <si>
    <t>07-01</t>
  </si>
  <si>
    <t>07-02</t>
  </si>
  <si>
    <t>07-03</t>
  </si>
  <si>
    <t>07-06</t>
  </si>
  <si>
    <t>07-07</t>
  </si>
  <si>
    <t>07-08</t>
  </si>
  <si>
    <t>07-09</t>
  </si>
  <si>
    <t>07-10</t>
  </si>
  <si>
    <t>07-13</t>
  </si>
  <si>
    <t>07-14</t>
  </si>
  <si>
    <t>07-15</t>
  </si>
  <si>
    <t>07-16</t>
  </si>
  <si>
    <t>07-17</t>
  </si>
  <si>
    <t>07-20</t>
  </si>
  <si>
    <t>07-21</t>
  </si>
  <si>
    <t>07-22</t>
  </si>
  <si>
    <t>07-23</t>
  </si>
  <si>
    <t>07-24</t>
  </si>
  <si>
    <t>전기</t>
    <phoneticPr fontId="7" type="noConversion"/>
  </si>
  <si>
    <t>07-27</t>
  </si>
  <si>
    <t>07-28</t>
  </si>
  <si>
    <t>07-29</t>
  </si>
  <si>
    <t>07-30</t>
  </si>
  <si>
    <t>07-31</t>
  </si>
  <si>
    <t>08-03</t>
  </si>
  <si>
    <t>08-04</t>
  </si>
  <si>
    <t>08-05</t>
  </si>
  <si>
    <t>08-06</t>
  </si>
  <si>
    <t>08-07</t>
  </si>
  <si>
    <t>08-10</t>
  </si>
  <si>
    <t>08-11</t>
  </si>
  <si>
    <t>08-12</t>
  </si>
  <si>
    <t>08-13</t>
  </si>
  <si>
    <t>08-14</t>
  </si>
  <si>
    <t>08-18</t>
  </si>
  <si>
    <t>08-19</t>
  </si>
  <si>
    <t>08-24</t>
  </si>
  <si>
    <t>08-25</t>
  </si>
  <si>
    <t>08-26</t>
  </si>
  <si>
    <t>08-27</t>
  </si>
  <si>
    <t>08-28</t>
  </si>
  <si>
    <t>08-31</t>
  </si>
  <si>
    <t>09-01</t>
  </si>
  <si>
    <t>09-02</t>
  </si>
  <si>
    <t>09-03</t>
  </si>
  <si>
    <t>09-04</t>
  </si>
  <si>
    <t>09-07</t>
  </si>
  <si>
    <t>09-08</t>
  </si>
  <si>
    <t>09-09</t>
  </si>
  <si>
    <t>09-10</t>
  </si>
  <si>
    <t>09-11</t>
  </si>
  <si>
    <t>09-14</t>
  </si>
  <si>
    <t>09-15</t>
  </si>
  <si>
    <t>09-16</t>
  </si>
  <si>
    <t>09-17</t>
  </si>
  <si>
    <t>09-18</t>
  </si>
  <si>
    <t>09-21</t>
  </si>
  <si>
    <t>09-22</t>
  </si>
  <si>
    <t>09-23</t>
  </si>
  <si>
    <t>09-24</t>
  </si>
  <si>
    <t>09-25</t>
  </si>
  <si>
    <t>09-28</t>
  </si>
  <si>
    <t>09-29</t>
  </si>
  <si>
    <t>10-05</t>
  </si>
  <si>
    <t>10-06</t>
  </si>
  <si>
    <t>10-07</t>
  </si>
  <si>
    <t>10-08</t>
  </si>
  <si>
    <t>10-12</t>
  </si>
  <si>
    <t>10-13</t>
  </si>
  <si>
    <t>10-14</t>
  </si>
  <si>
    <t>10-15</t>
  </si>
  <si>
    <t>고정자산</t>
  </si>
  <si>
    <t>10-16</t>
  </si>
  <si>
    <t>10-19</t>
  </si>
  <si>
    <t>10-20</t>
  </si>
  <si>
    <t>10-21</t>
  </si>
  <si>
    <t>10-22</t>
  </si>
  <si>
    <t>10-23</t>
  </si>
  <si>
    <t>10-26</t>
  </si>
  <si>
    <t>통신비</t>
    <phoneticPr fontId="7" type="noConversion"/>
  </si>
  <si>
    <t>10-27</t>
  </si>
  <si>
    <t>10-28</t>
  </si>
  <si>
    <t>10-29</t>
  </si>
  <si>
    <t>10-30</t>
  </si>
  <si>
    <t>11-02</t>
  </si>
  <si>
    <t>11-03</t>
  </si>
  <si>
    <t>11-04</t>
  </si>
  <si>
    <t>11-05</t>
  </si>
  <si>
    <t>11-06</t>
  </si>
  <si>
    <t>11-09</t>
  </si>
  <si>
    <t>11-10</t>
  </si>
  <si>
    <t>11-11</t>
  </si>
  <si>
    <t>11-12</t>
  </si>
  <si>
    <t>11-13</t>
  </si>
  <si>
    <t>11-16</t>
  </si>
  <si>
    <t>11-17</t>
  </si>
  <si>
    <t>11-18</t>
  </si>
  <si>
    <t>11-19</t>
  </si>
  <si>
    <t>단기대여금</t>
  </si>
  <si>
    <t>예적금</t>
  </si>
  <si>
    <t>11-20</t>
  </si>
  <si>
    <t>11-23</t>
  </si>
  <si>
    <t>11-24</t>
  </si>
  <si>
    <t>11-25</t>
  </si>
  <si>
    <t>11-26</t>
  </si>
  <si>
    <t>11-27</t>
  </si>
  <si>
    <t>11-30</t>
  </si>
  <si>
    <t>12-01</t>
  </si>
  <si>
    <t>12-02</t>
  </si>
  <si>
    <t>12-04</t>
  </si>
  <si>
    <t>12-07</t>
  </si>
  <si>
    <t>12-09</t>
  </si>
  <si>
    <t>12-10</t>
  </si>
  <si>
    <t>12-11</t>
  </si>
  <si>
    <t>12-12</t>
  </si>
  <si>
    <t>12-14</t>
  </si>
  <si>
    <t>12-15</t>
  </si>
  <si>
    <t>12-16</t>
  </si>
  <si>
    <t>12-17</t>
  </si>
  <si>
    <t>12-18</t>
  </si>
  <si>
    <t>12-19</t>
  </si>
  <si>
    <t>12-21</t>
  </si>
  <si>
    <t>12-22</t>
  </si>
  <si>
    <t>12-23</t>
  </si>
  <si>
    <t>12-24</t>
  </si>
  <si>
    <t>12-28</t>
  </si>
  <si>
    <t>12-29</t>
  </si>
  <si>
    <t>12-30</t>
  </si>
  <si>
    <t>12-31</t>
  </si>
  <si>
    <t>이자비용</t>
  </si>
  <si>
    <t>매출</t>
    <phoneticPr fontId="2" type="noConversion"/>
  </si>
  <si>
    <t>외상매출금(우리)</t>
    <phoneticPr fontId="2" type="noConversion"/>
  </si>
  <si>
    <t>외상매출금(국민)</t>
    <phoneticPr fontId="2" type="noConversion"/>
  </si>
  <si>
    <t>외상매출금(신한)</t>
    <phoneticPr fontId="2" type="noConversion"/>
  </si>
  <si>
    <t>기타금액</t>
    <phoneticPr fontId="2" type="noConversion"/>
  </si>
  <si>
    <t>소계</t>
    <phoneticPr fontId="2" type="noConversion"/>
  </si>
  <si>
    <t>고정비</t>
    <phoneticPr fontId="2" type="noConversion"/>
  </si>
  <si>
    <t>고정비 소계</t>
    <phoneticPr fontId="2" type="noConversion"/>
  </si>
  <si>
    <t>유동</t>
    <phoneticPr fontId="2" type="noConversion"/>
  </si>
  <si>
    <t>교육비</t>
    <phoneticPr fontId="2" type="noConversion"/>
  </si>
  <si>
    <t>보증금</t>
    <phoneticPr fontId="2" type="noConversion"/>
  </si>
  <si>
    <t>소모품</t>
    <phoneticPr fontId="2" type="noConversion"/>
  </si>
  <si>
    <t>유동비 소계</t>
    <phoneticPr fontId="2" type="noConversion"/>
  </si>
  <si>
    <t>지출소계</t>
    <phoneticPr fontId="2" type="noConversion"/>
  </si>
  <si>
    <t>월별잔액(현금제외)</t>
    <phoneticPr fontId="2" type="noConversion"/>
  </si>
  <si>
    <t>2024년 미지급</t>
    <phoneticPr fontId="2" type="noConversion"/>
  </si>
  <si>
    <t>2025년 외상대</t>
    <phoneticPr fontId="2" type="noConversion"/>
  </si>
  <si>
    <t>2025년 매출</t>
    <phoneticPr fontId="2" type="noConversion"/>
  </si>
  <si>
    <t>2025년매출/외상대</t>
    <phoneticPr fontId="2" type="noConversion"/>
  </si>
  <si>
    <t>2025매출-매입 (1)</t>
    <phoneticPr fontId="2" type="noConversion"/>
  </si>
  <si>
    <t>2025기타입금(2)</t>
    <phoneticPr fontId="2" type="noConversion"/>
  </si>
  <si>
    <t>고정비(3)</t>
    <phoneticPr fontId="2" type="noConversion"/>
  </si>
  <si>
    <t>유동비(4)</t>
    <phoneticPr fontId="2" type="noConversion"/>
  </si>
  <si>
    <t>합계(1+2-3-3)</t>
    <phoneticPr fontId="2" type="noConversion"/>
  </si>
  <si>
    <t>4월잔액</t>
    <phoneticPr fontId="2" type="noConversion"/>
  </si>
  <si>
    <t>매출입금779</t>
  </si>
  <si>
    <t>매출</t>
  </si>
  <si>
    <t>수입</t>
  </si>
  <si>
    <t>수입</t>
    <phoneticPr fontId="2" type="noConversion"/>
  </si>
  <si>
    <t>고객062</t>
  </si>
  <si>
    <t>고객062</t>
    <phoneticPr fontId="2" type="noConversion"/>
  </si>
  <si>
    <t>매출입금143</t>
  </si>
  <si>
    <t>고객014</t>
  </si>
  <si>
    <t>고객014</t>
    <phoneticPr fontId="2" type="noConversion"/>
  </si>
  <si>
    <t>매출입금853</t>
  </si>
  <si>
    <t>수입</t>
    <phoneticPr fontId="7" type="noConversion"/>
  </si>
  <si>
    <t>매출</t>
    <phoneticPr fontId="7" type="noConversion"/>
  </si>
  <si>
    <t>고객044</t>
  </si>
  <si>
    <t>고객044</t>
    <phoneticPr fontId="2" type="noConversion"/>
  </si>
  <si>
    <t>매출입금431</t>
  </si>
  <si>
    <t>고객090</t>
  </si>
  <si>
    <t>고객090</t>
    <phoneticPr fontId="2" type="noConversion"/>
  </si>
  <si>
    <t>지출846</t>
  </si>
  <si>
    <t>인건비</t>
  </si>
  <si>
    <t>지출</t>
  </si>
  <si>
    <t>지출</t>
    <phoneticPr fontId="7" type="noConversion"/>
  </si>
  <si>
    <t>업체028</t>
  </si>
  <si>
    <t>업체028</t>
    <phoneticPr fontId="2" type="noConversion"/>
  </si>
  <si>
    <t>매출입금220</t>
  </si>
  <si>
    <t>고객015</t>
  </si>
  <si>
    <t>고객015</t>
    <phoneticPr fontId="2" type="noConversion"/>
  </si>
  <si>
    <t>매출입금391</t>
  </si>
  <si>
    <t>고객085</t>
  </si>
  <si>
    <t>고객085</t>
    <phoneticPr fontId="2" type="noConversion"/>
  </si>
  <si>
    <t>매출입금746</t>
  </si>
  <si>
    <t>매출입금634</t>
  </si>
  <si>
    <t>고객003</t>
  </si>
  <si>
    <t>고객003</t>
    <phoneticPr fontId="2" type="noConversion"/>
  </si>
  <si>
    <t>지출965</t>
  </si>
  <si>
    <t>업체008</t>
  </si>
  <si>
    <t>업체008</t>
    <phoneticPr fontId="2" type="noConversion"/>
  </si>
  <si>
    <t>매출입금086</t>
  </si>
  <si>
    <t>고객087</t>
  </si>
  <si>
    <t>지출200</t>
  </si>
  <si>
    <t>운영비</t>
  </si>
  <si>
    <t>지출</t>
    <phoneticPr fontId="2" type="noConversion"/>
  </si>
  <si>
    <t>업체029</t>
  </si>
  <si>
    <t>매출입금290</t>
  </si>
  <si>
    <t>고객091</t>
  </si>
  <si>
    <t>매출입금145</t>
  </si>
  <si>
    <t>고객023</t>
  </si>
  <si>
    <t>매출입금471</t>
  </si>
  <si>
    <t>고객095</t>
  </si>
  <si>
    <t>지출188</t>
  </si>
  <si>
    <t>업체046</t>
  </si>
  <si>
    <t>지출931</t>
  </si>
  <si>
    <t>업체006</t>
  </si>
  <si>
    <t>매출입금248</t>
  </si>
  <si>
    <t>고객083</t>
  </si>
  <si>
    <t>매출입금072</t>
  </si>
  <si>
    <t>고객030</t>
  </si>
  <si>
    <t>매출입금264</t>
  </si>
  <si>
    <t>고객098</t>
  </si>
  <si>
    <t>매출입금984</t>
  </si>
  <si>
    <t>고객052</t>
  </si>
  <si>
    <t>고객052</t>
    <phoneticPr fontId="2" type="noConversion"/>
  </si>
  <si>
    <t>매출입금168</t>
  </si>
  <si>
    <t>고객097</t>
  </si>
  <si>
    <t>지출019</t>
  </si>
  <si>
    <t>업체007</t>
  </si>
  <si>
    <t>업체007</t>
    <phoneticPr fontId="2" type="noConversion"/>
  </si>
  <si>
    <t>매출입금739</t>
  </si>
  <si>
    <t>고객040</t>
  </si>
  <si>
    <t>지출589</t>
  </si>
  <si>
    <t>재료비</t>
  </si>
  <si>
    <t>재료비</t>
    <phoneticPr fontId="2" type="noConversion"/>
  </si>
  <si>
    <t>업체039</t>
  </si>
  <si>
    <t>업체039</t>
    <phoneticPr fontId="2" type="noConversion"/>
  </si>
  <si>
    <t>지출197</t>
  </si>
  <si>
    <t>매출입금573</t>
  </si>
  <si>
    <t>매출입금224</t>
  </si>
  <si>
    <t>고객022</t>
  </si>
  <si>
    <t>고객022</t>
    <phoneticPr fontId="2" type="noConversion"/>
  </si>
  <si>
    <t>매출입금601</t>
  </si>
  <si>
    <t>고객040</t>
    <phoneticPr fontId="2" type="noConversion"/>
  </si>
  <si>
    <t>매출입금791</t>
  </si>
  <si>
    <t>매출입금793</t>
  </si>
  <si>
    <t>고객016</t>
  </si>
  <si>
    <t>고객016</t>
    <phoneticPr fontId="2" type="noConversion"/>
  </si>
  <si>
    <t>지출356</t>
  </si>
  <si>
    <t>업체034</t>
  </si>
  <si>
    <t>지출630</t>
  </si>
  <si>
    <t>업체013</t>
  </si>
  <si>
    <t>지출486</t>
  </si>
  <si>
    <t>인건비</t>
    <phoneticPr fontId="2" type="noConversion"/>
  </si>
  <si>
    <t>업체001</t>
  </si>
  <si>
    <t>업체001</t>
    <phoneticPr fontId="2" type="noConversion"/>
  </si>
  <si>
    <t>매출입금831</t>
  </si>
  <si>
    <t>고객048</t>
  </si>
  <si>
    <t>매출입금750</t>
  </si>
  <si>
    <t>매출입금860</t>
  </si>
  <si>
    <t>고객053</t>
  </si>
  <si>
    <t>고객053</t>
    <phoneticPr fontId="2" type="noConversion"/>
  </si>
  <si>
    <t>매출입금235</t>
  </si>
  <si>
    <t>고객028</t>
  </si>
  <si>
    <t>지출181</t>
  </si>
  <si>
    <t>업체006</t>
    <phoneticPr fontId="2" type="noConversion"/>
  </si>
  <si>
    <t>지출848</t>
  </si>
  <si>
    <t>운영비</t>
    <phoneticPr fontId="2" type="noConversion"/>
  </si>
  <si>
    <t>업체046</t>
    <phoneticPr fontId="2" type="noConversion"/>
  </si>
  <si>
    <t>지출387</t>
  </si>
  <si>
    <t>업체027</t>
  </si>
  <si>
    <t>업체027</t>
    <phoneticPr fontId="2" type="noConversion"/>
  </si>
  <si>
    <t>매출입금385</t>
  </si>
  <si>
    <t>고객051</t>
  </si>
  <si>
    <t>매출입금389</t>
  </si>
  <si>
    <t>고객099</t>
  </si>
  <si>
    <t>고객099</t>
    <phoneticPr fontId="2" type="noConversion"/>
  </si>
  <si>
    <t>매출입금768</t>
  </si>
  <si>
    <t>고객065</t>
  </si>
  <si>
    <t>지출064</t>
  </si>
  <si>
    <t>업체024</t>
  </si>
  <si>
    <t>매출입금425</t>
  </si>
  <si>
    <t>고객038</t>
  </si>
  <si>
    <t>지출119</t>
  </si>
  <si>
    <t>업체020</t>
  </si>
  <si>
    <t>매출입금227</t>
  </si>
  <si>
    <t>고객074</t>
  </si>
  <si>
    <t>지출347</t>
  </si>
  <si>
    <t>업체022</t>
  </si>
  <si>
    <t>업체022</t>
    <phoneticPr fontId="2" type="noConversion"/>
  </si>
  <si>
    <t>지출097</t>
  </si>
  <si>
    <t>업체048</t>
  </si>
  <si>
    <t>지출066</t>
  </si>
  <si>
    <t>매출입금826</t>
  </si>
  <si>
    <t>지출574</t>
  </si>
  <si>
    <t>업체019</t>
  </si>
  <si>
    <t>매출입금396</t>
  </si>
  <si>
    <t>고객075</t>
  </si>
  <si>
    <t>매출입금218</t>
  </si>
  <si>
    <t>고객056</t>
  </si>
  <si>
    <t>매출입금683</t>
  </si>
  <si>
    <t>고객094</t>
  </si>
  <si>
    <t>지출074</t>
  </si>
  <si>
    <t>업체010</t>
  </si>
  <si>
    <t>매출입금361</t>
  </si>
  <si>
    <t>고객071</t>
  </si>
  <si>
    <t>매출입금021</t>
  </si>
  <si>
    <t>고객077</t>
  </si>
  <si>
    <t>매출입금249</t>
  </si>
  <si>
    <t>지출336</t>
  </si>
  <si>
    <t>매출입금456</t>
  </si>
  <si>
    <t>고객011</t>
  </si>
  <si>
    <t>지출535</t>
  </si>
  <si>
    <t>업체041</t>
  </si>
  <si>
    <t>지출048</t>
  </si>
  <si>
    <t>매출입금685</t>
  </si>
  <si>
    <t>고객019</t>
  </si>
  <si>
    <t>고객004</t>
  </si>
  <si>
    <t>매출입금247</t>
  </si>
  <si>
    <t>고객096</t>
  </si>
  <si>
    <t>지출715</t>
  </si>
  <si>
    <t>임대료</t>
    <phoneticPr fontId="2" type="noConversion"/>
  </si>
  <si>
    <t>매출입금599</t>
  </si>
  <si>
    <t>고객007</t>
  </si>
  <si>
    <t>매출입금769</t>
  </si>
  <si>
    <t>고객008</t>
  </si>
  <si>
    <t>지출575</t>
  </si>
  <si>
    <t>업체002</t>
    <phoneticPr fontId="2" type="noConversion"/>
  </si>
  <si>
    <t>지출318</t>
  </si>
  <si>
    <t>매출입금371</t>
  </si>
  <si>
    <t>고객024</t>
  </si>
  <si>
    <t>지출220</t>
  </si>
  <si>
    <t>지출317</t>
  </si>
  <si>
    <t>기타</t>
    <phoneticPr fontId="2" type="noConversion"/>
  </si>
  <si>
    <t>업체023</t>
  </si>
  <si>
    <t>업체023</t>
    <phoneticPr fontId="2" type="noConversion"/>
  </si>
  <si>
    <t>지출465</t>
  </si>
  <si>
    <t>업체011</t>
  </si>
  <si>
    <t>업체011</t>
    <phoneticPr fontId="2" type="noConversion"/>
  </si>
  <si>
    <t>매출입금527</t>
  </si>
  <si>
    <t>고객077</t>
    <phoneticPr fontId="2" type="noConversion"/>
  </si>
  <si>
    <t>지출069</t>
  </si>
  <si>
    <t>지출242</t>
  </si>
  <si>
    <t>업체037</t>
  </si>
  <si>
    <t>매출입금695</t>
  </si>
  <si>
    <t>고객012</t>
  </si>
  <si>
    <t>고객012</t>
    <phoneticPr fontId="2" type="noConversion"/>
  </si>
  <si>
    <t>매출입금506</t>
  </si>
  <si>
    <t>고객082</t>
  </si>
  <si>
    <t>고객050</t>
  </si>
  <si>
    <t>매출입금998</t>
  </si>
  <si>
    <t>지출659</t>
  </si>
  <si>
    <t>업체015</t>
  </si>
  <si>
    <t>지출707</t>
  </si>
  <si>
    <t>매출입금902</t>
  </si>
  <si>
    <t>고객061</t>
  </si>
  <si>
    <t>지출079</t>
  </si>
  <si>
    <t>지출299</t>
  </si>
  <si>
    <t>업체047</t>
  </si>
  <si>
    <t>지출691</t>
  </si>
  <si>
    <t>업체033</t>
  </si>
  <si>
    <t>고객026</t>
  </si>
  <si>
    <t>매출입금420</t>
  </si>
  <si>
    <t>고객030</t>
    <phoneticPr fontId="2" type="noConversion"/>
  </si>
  <si>
    <t>매출입금236</t>
  </si>
  <si>
    <t>매출입금954</t>
  </si>
  <si>
    <t>고객051</t>
    <phoneticPr fontId="2" type="noConversion"/>
  </si>
  <si>
    <t>지출876</t>
  </si>
  <si>
    <t>업체009</t>
  </si>
  <si>
    <t>지출563</t>
  </si>
  <si>
    <t>지출723</t>
  </si>
  <si>
    <t>업체036</t>
  </si>
  <si>
    <t>업체036</t>
    <phoneticPr fontId="2" type="noConversion"/>
  </si>
  <si>
    <t>매출입금570</t>
  </si>
  <si>
    <t>매출입금174</t>
  </si>
  <si>
    <t>고객035</t>
  </si>
  <si>
    <t>매출입금691</t>
  </si>
  <si>
    <t>고객082</t>
    <phoneticPr fontId="2" type="noConversion"/>
  </si>
  <si>
    <t>매출입금636</t>
  </si>
  <si>
    <t>매출입금655</t>
  </si>
  <si>
    <t>고객020</t>
  </si>
  <si>
    <t>지출136</t>
  </si>
  <si>
    <t>업체042</t>
  </si>
  <si>
    <t>지출606</t>
  </si>
  <si>
    <t>매출입금439</t>
  </si>
  <si>
    <t>고객086</t>
  </si>
  <si>
    <t>매출입금543</t>
  </si>
  <si>
    <t>매출입금653</t>
  </si>
  <si>
    <t>고객087</t>
    <phoneticPr fontId="2" type="noConversion"/>
  </si>
  <si>
    <t>지출138</t>
  </si>
  <si>
    <t>운영비</t>
    <phoneticPr fontId="7" type="noConversion"/>
  </si>
  <si>
    <t>매출입금041</t>
  </si>
  <si>
    <t>고객008</t>
    <phoneticPr fontId="2" type="noConversion"/>
  </si>
  <si>
    <t>매출입금670</t>
  </si>
  <si>
    <t>고객004</t>
    <phoneticPr fontId="2" type="noConversion"/>
  </si>
  <si>
    <t>매출입금154</t>
  </si>
  <si>
    <t>고객042</t>
  </si>
  <si>
    <t>고객042</t>
    <phoneticPr fontId="2" type="noConversion"/>
  </si>
  <si>
    <t>지출678</t>
  </si>
  <si>
    <t>업체035</t>
  </si>
  <si>
    <t>업체035</t>
    <phoneticPr fontId="2" type="noConversion"/>
  </si>
  <si>
    <t>고객067</t>
  </si>
  <si>
    <t>고객067</t>
    <phoneticPr fontId="2" type="noConversion"/>
  </si>
  <si>
    <t>매출입금742</t>
  </si>
  <si>
    <t>매출입금014</t>
  </si>
  <si>
    <t>매출입금907</t>
  </si>
  <si>
    <t>매출입금935</t>
  </si>
  <si>
    <t>매출입금726</t>
  </si>
  <si>
    <t>지출292</t>
  </si>
  <si>
    <t>매출입금103</t>
  </si>
  <si>
    <t>고객070</t>
  </si>
  <si>
    <t>매출입금142</t>
  </si>
  <si>
    <t>고객032</t>
  </si>
  <si>
    <t>지출276</t>
  </si>
  <si>
    <t>업체043</t>
  </si>
  <si>
    <t>매출입금155</t>
  </si>
  <si>
    <t>고객039</t>
  </si>
  <si>
    <t>지출309</t>
  </si>
  <si>
    <t>매출입금226</t>
  </si>
  <si>
    <t>고객059</t>
  </si>
  <si>
    <t>고객059</t>
    <phoneticPr fontId="2" type="noConversion"/>
  </si>
  <si>
    <t>매출입금192</t>
  </si>
  <si>
    <t>매출입금879</t>
  </si>
  <si>
    <t>지출956</t>
  </si>
  <si>
    <t>업체030</t>
  </si>
  <si>
    <t>업체030</t>
    <phoneticPr fontId="2" type="noConversion"/>
  </si>
  <si>
    <t>매출입금983</t>
  </si>
  <si>
    <t>고객060</t>
  </si>
  <si>
    <t>매출입금767</t>
  </si>
  <si>
    <t>지출968</t>
  </si>
  <si>
    <t>업체024</t>
    <phoneticPr fontId="2" type="noConversion"/>
  </si>
  <si>
    <t>매출입금868</t>
  </si>
  <si>
    <t>고객047</t>
  </si>
  <si>
    <t>고객047</t>
    <phoneticPr fontId="2" type="noConversion"/>
  </si>
  <si>
    <t>매출입금535</t>
  </si>
  <si>
    <t>지출811</t>
  </si>
  <si>
    <t>매출입금173</t>
  </si>
  <si>
    <t>지출488</t>
  </si>
  <si>
    <t>업체025</t>
  </si>
  <si>
    <t>매출입금740</t>
  </si>
  <si>
    <t>지출700</t>
  </si>
  <si>
    <t>업체005</t>
  </si>
  <si>
    <t>매출입금054</t>
  </si>
  <si>
    <t>고객093</t>
  </si>
  <si>
    <t>매출입금289</t>
  </si>
  <si>
    <t>매출입금765</t>
  </si>
  <si>
    <t>고객057</t>
  </si>
  <si>
    <t>매출입금108</t>
  </si>
  <si>
    <t>고객025</t>
  </si>
  <si>
    <t>고객025</t>
    <phoneticPr fontId="2" type="noConversion"/>
  </si>
  <si>
    <t>매출입금537</t>
  </si>
  <si>
    <t>매출입금012</t>
  </si>
  <si>
    <t>고객081</t>
  </si>
  <si>
    <t>매출입금123</t>
  </si>
  <si>
    <t>매출입금958</t>
  </si>
  <si>
    <t>고객066</t>
  </si>
  <si>
    <t>지출307</t>
  </si>
  <si>
    <t>업체018</t>
  </si>
  <si>
    <t>매출입금137</t>
  </si>
  <si>
    <t>매출입금568</t>
  </si>
  <si>
    <t>매출입금669</t>
  </si>
  <si>
    <t>고객100</t>
  </si>
  <si>
    <t>매출입금127</t>
  </si>
  <si>
    <t>지출823</t>
  </si>
  <si>
    <t>매출입금102</t>
  </si>
  <si>
    <t>지출529</t>
  </si>
  <si>
    <t>업체003</t>
  </si>
  <si>
    <t>매출입금957</t>
  </si>
  <si>
    <t>지출176</t>
  </si>
  <si>
    <t>매출입금202</t>
  </si>
  <si>
    <t>매출입금709</t>
  </si>
  <si>
    <t>지출511</t>
  </si>
  <si>
    <t>업체038</t>
  </si>
  <si>
    <t>매출입금105</t>
  </si>
  <si>
    <t>지출686</t>
  </si>
  <si>
    <t>업체021</t>
  </si>
  <si>
    <t>매출입금253</t>
  </si>
  <si>
    <t>고객073</t>
  </si>
  <si>
    <t>지출173</t>
  </si>
  <si>
    <t>매출입금869</t>
  </si>
  <si>
    <t>지출714</t>
  </si>
  <si>
    <t>지출224</t>
  </si>
  <si>
    <t>매출입금662</t>
  </si>
  <si>
    <t>지출083</t>
  </si>
  <si>
    <t>업체017</t>
  </si>
  <si>
    <t>매출입금210</t>
  </si>
  <si>
    <t>매출입금757</t>
  </si>
  <si>
    <t>고객001</t>
  </si>
  <si>
    <t>매출입금509</t>
  </si>
  <si>
    <t>지출861</t>
  </si>
  <si>
    <t>매출입금274</t>
  </si>
  <si>
    <t>매출입금454</t>
  </si>
  <si>
    <t>매출입금718</t>
  </si>
  <si>
    <t>매출입금240</t>
  </si>
  <si>
    <t>매출입금635</t>
  </si>
  <si>
    <t>매출입금172</t>
  </si>
  <si>
    <t>고객061</t>
    <phoneticPr fontId="2" type="noConversion"/>
  </si>
  <si>
    <t>매출입금048</t>
  </si>
  <si>
    <t>고객001</t>
    <phoneticPr fontId="2" type="noConversion"/>
  </si>
  <si>
    <t>매출입금513</t>
  </si>
  <si>
    <t>매출입금992</t>
  </si>
  <si>
    <t>지출625</t>
  </si>
  <si>
    <t>지출506</t>
  </si>
  <si>
    <t>업체032</t>
  </si>
  <si>
    <t>매출입금888</t>
  </si>
  <si>
    <t>고객046</t>
  </si>
  <si>
    <t>매출입금681</t>
  </si>
  <si>
    <t>고객072</t>
  </si>
  <si>
    <t>매출입금221</t>
  </si>
  <si>
    <t>매출입금196</t>
  </si>
  <si>
    <t>고객048</t>
    <phoneticPr fontId="2" type="noConversion"/>
  </si>
  <si>
    <t>지출541</t>
  </si>
  <si>
    <t>매출입금057</t>
  </si>
  <si>
    <t>고객058</t>
  </si>
  <si>
    <t>고객058</t>
    <phoneticPr fontId="2" type="noConversion"/>
  </si>
  <si>
    <t>고객032</t>
    <phoneticPr fontId="2" type="noConversion"/>
  </si>
  <si>
    <t>지출303</t>
  </si>
  <si>
    <t>지출564</t>
  </si>
  <si>
    <t>고객037</t>
  </si>
  <si>
    <t>매출입금438</t>
  </si>
  <si>
    <t>지출548</t>
  </si>
  <si>
    <t>업체033</t>
    <phoneticPr fontId="2" type="noConversion"/>
  </si>
  <si>
    <t>매출입금120</t>
  </si>
  <si>
    <t>매출입금785</t>
  </si>
  <si>
    <t>매출입금642</t>
  </si>
  <si>
    <t>고객005</t>
  </si>
  <si>
    <t>지출275</t>
  </si>
  <si>
    <t>지출779</t>
  </si>
  <si>
    <t>업체012</t>
  </si>
  <si>
    <t>매출입금395</t>
  </si>
  <si>
    <t>고객033</t>
  </si>
  <si>
    <t>지출733</t>
  </si>
  <si>
    <t>업체031</t>
  </si>
  <si>
    <t>업체031</t>
    <phoneticPr fontId="2" type="noConversion"/>
  </si>
  <si>
    <t>매출입금654</t>
  </si>
  <si>
    <t>매출입금440</t>
  </si>
  <si>
    <t>매출입금405</t>
  </si>
  <si>
    <t>고객079</t>
  </si>
  <si>
    <t>고객079</t>
    <phoneticPr fontId="2" type="noConversion"/>
  </si>
  <si>
    <t>매출입금181</t>
  </si>
  <si>
    <t>고객013</t>
    <phoneticPr fontId="2" type="noConversion"/>
  </si>
  <si>
    <t>매출입금744</t>
  </si>
  <si>
    <t>지출819</t>
  </si>
  <si>
    <t>지출246</t>
  </si>
  <si>
    <t>업체016</t>
  </si>
  <si>
    <t>지출558</t>
  </si>
  <si>
    <t>지출369</t>
  </si>
  <si>
    <t>매출입금426</t>
  </si>
  <si>
    <t>매출입금608</t>
  </si>
  <si>
    <t>매출입금872</t>
  </si>
  <si>
    <t>매출입금778</t>
  </si>
  <si>
    <t>지출128</t>
  </si>
  <si>
    <t>매출입금458</t>
  </si>
  <si>
    <t>고객092</t>
  </si>
  <si>
    <t>매출입금452</t>
  </si>
  <si>
    <t>지출751</t>
  </si>
  <si>
    <t>업체018</t>
    <phoneticPr fontId="2" type="noConversion"/>
  </si>
  <si>
    <t>매출입금939</t>
  </si>
  <si>
    <t>고객093</t>
    <phoneticPr fontId="2" type="noConversion"/>
  </si>
  <si>
    <t>지출757</t>
  </si>
  <si>
    <t>지출321</t>
  </si>
  <si>
    <t>매출입금918</t>
  </si>
  <si>
    <t>고객078</t>
  </si>
  <si>
    <t>고객078</t>
    <phoneticPr fontId="2" type="noConversion"/>
  </si>
  <si>
    <t>지출549</t>
  </si>
  <si>
    <t>업체037</t>
    <phoneticPr fontId="2" type="noConversion"/>
  </si>
  <si>
    <t>매출입금920</t>
  </si>
  <si>
    <t>고객094</t>
    <phoneticPr fontId="2" type="noConversion"/>
  </si>
  <si>
    <t>지출672</t>
  </si>
  <si>
    <t>지출385</t>
  </si>
  <si>
    <t>업체026</t>
  </si>
  <si>
    <t>업체026</t>
    <phoneticPr fontId="2" type="noConversion"/>
  </si>
  <si>
    <t>지출690</t>
  </si>
  <si>
    <t>업체029</t>
    <phoneticPr fontId="2" type="noConversion"/>
  </si>
  <si>
    <t>지출221</t>
  </si>
  <si>
    <t>업체019</t>
    <phoneticPr fontId="2" type="noConversion"/>
  </si>
  <si>
    <t>고객073</t>
    <phoneticPr fontId="2" type="noConversion"/>
  </si>
  <si>
    <t>지출334</t>
  </si>
  <si>
    <t>업체032</t>
    <phoneticPr fontId="2" type="noConversion"/>
  </si>
  <si>
    <t>매출입금754</t>
  </si>
  <si>
    <t>매출입금285</t>
  </si>
  <si>
    <t>고객063</t>
  </si>
  <si>
    <t>매출입금118</t>
  </si>
  <si>
    <t>고객039</t>
    <phoneticPr fontId="2" type="noConversion"/>
  </si>
  <si>
    <t>지출067</t>
  </si>
  <si>
    <t>매출입금272</t>
  </si>
  <si>
    <t>고객043</t>
  </si>
  <si>
    <t>고객043</t>
    <phoneticPr fontId="2" type="noConversion"/>
  </si>
  <si>
    <t>매출입금281</t>
  </si>
  <si>
    <t>매출입금645</t>
  </si>
  <si>
    <t>고객018</t>
  </si>
  <si>
    <t>고객018</t>
    <phoneticPr fontId="2" type="noConversion"/>
  </si>
  <si>
    <t>매출입금147</t>
  </si>
  <si>
    <t>매출입금832</t>
  </si>
  <si>
    <t>지출744</t>
  </si>
  <si>
    <t>지출268</t>
  </si>
  <si>
    <t>임대료</t>
    <phoneticPr fontId="7" type="noConversion"/>
  </si>
  <si>
    <t>매출입금528</t>
  </si>
  <si>
    <t>매출입금965</t>
  </si>
  <si>
    <t>매출입금679</t>
  </si>
  <si>
    <t>지출035</t>
  </si>
  <si>
    <t>매출입금576</t>
  </si>
  <si>
    <t>매출입금970</t>
  </si>
  <si>
    <t>매출입금578</t>
  </si>
  <si>
    <t>매출입금100</t>
  </si>
  <si>
    <t>매출입금621</t>
  </si>
  <si>
    <t>매출입금943</t>
  </si>
  <si>
    <t>고객009</t>
  </si>
  <si>
    <t>매출입금307</t>
  </si>
  <si>
    <t>고객076</t>
  </si>
  <si>
    <t>매출입금864</t>
  </si>
  <si>
    <t>지출635</t>
  </si>
  <si>
    <t>매출입금058</t>
  </si>
  <si>
    <t>매출입금476</t>
  </si>
  <si>
    <t>지출428</t>
  </si>
  <si>
    <t>지출633</t>
  </si>
  <si>
    <t>업체040</t>
  </si>
  <si>
    <t>매출입금883</t>
  </si>
  <si>
    <t>매출입금587</t>
  </si>
  <si>
    <t>고객009</t>
    <phoneticPr fontId="2" type="noConversion"/>
  </si>
  <si>
    <t>지출137</t>
  </si>
  <si>
    <t>지출667</t>
  </si>
  <si>
    <t>지출212</t>
  </si>
  <si>
    <t>매출입금944</t>
  </si>
  <si>
    <t>매출입금697</t>
  </si>
  <si>
    <t>매출입금696</t>
  </si>
  <si>
    <t>고객070</t>
    <phoneticPr fontId="2" type="noConversion"/>
  </si>
  <si>
    <t>매출입금304</t>
  </si>
  <si>
    <t>고객080</t>
  </si>
  <si>
    <t>지출637</t>
  </si>
  <si>
    <t>매출입금930</t>
  </si>
  <si>
    <t>매출입금283</t>
  </si>
  <si>
    <t>매출입금589</t>
  </si>
  <si>
    <t>매출입금887</t>
  </si>
  <si>
    <t>매출입금067</t>
  </si>
  <si>
    <t>지출333</t>
  </si>
  <si>
    <t>매출입금519</t>
  </si>
  <si>
    <t>지출046</t>
  </si>
  <si>
    <t>매출입금182</t>
  </si>
  <si>
    <t>매출입금077</t>
  </si>
  <si>
    <t>매출입금661</t>
  </si>
  <si>
    <t>지출786</t>
  </si>
  <si>
    <t>지출945</t>
  </si>
  <si>
    <t>업체004</t>
  </si>
  <si>
    <t>지출768</t>
  </si>
  <si>
    <t>업체050</t>
  </si>
  <si>
    <t>지출878</t>
  </si>
  <si>
    <t>매출입금362</t>
  </si>
  <si>
    <t>매출입금567</t>
  </si>
  <si>
    <t>매출입금450</t>
  </si>
  <si>
    <t>매출입금493</t>
  </si>
  <si>
    <t>매출입금938</t>
  </si>
  <si>
    <t>매출입금488</t>
  </si>
  <si>
    <t>고객034</t>
  </si>
  <si>
    <t>고객002</t>
    <phoneticPr fontId="2" type="noConversion"/>
  </si>
  <si>
    <t>지출295</t>
  </si>
  <si>
    <t>지출948</t>
  </si>
  <si>
    <t>업체049</t>
  </si>
  <si>
    <t>매출입금334</t>
  </si>
  <si>
    <t>매출입금538</t>
  </si>
  <si>
    <t>고객084</t>
  </si>
  <si>
    <t>지출648</t>
  </si>
  <si>
    <t>매출입금435</t>
  </si>
  <si>
    <t>지출972</t>
  </si>
  <si>
    <t>매출입금873</t>
  </si>
  <si>
    <t>매출입금823</t>
  </si>
  <si>
    <t>지출580</t>
  </si>
  <si>
    <t>매출입금043</t>
  </si>
  <si>
    <t>지출608</t>
  </si>
  <si>
    <t>매출입금423</t>
  </si>
  <si>
    <t>지출681</t>
  </si>
  <si>
    <t>매출입금859</t>
  </si>
  <si>
    <t>고객024</t>
    <phoneticPr fontId="2" type="noConversion"/>
  </si>
  <si>
    <t>매출입금747</t>
  </si>
  <si>
    <t>지출646</t>
  </si>
  <si>
    <t>업체043</t>
    <phoneticPr fontId="2" type="noConversion"/>
  </si>
  <si>
    <t>지출479</t>
  </si>
  <si>
    <t>매출입금633</t>
  </si>
  <si>
    <t>지출301</t>
  </si>
  <si>
    <t>업체016</t>
    <phoneticPr fontId="2" type="noConversion"/>
  </si>
  <si>
    <t>매출입금997</t>
  </si>
  <si>
    <t>지출293</t>
  </si>
  <si>
    <t>업체012</t>
    <phoneticPr fontId="2" type="noConversion"/>
  </si>
  <si>
    <t>지출413</t>
  </si>
  <si>
    <t>지출944</t>
  </si>
  <si>
    <t>매출입금849</t>
  </si>
  <si>
    <t>고객036</t>
  </si>
  <si>
    <t>매출입금053</t>
  </si>
  <si>
    <t>매출입금893</t>
  </si>
  <si>
    <t>매출입금081</t>
  </si>
  <si>
    <t>고객034</t>
    <phoneticPr fontId="2" type="noConversion"/>
  </si>
  <si>
    <t>매출입금815</t>
  </si>
  <si>
    <t>고객049</t>
  </si>
  <si>
    <t>고객049</t>
    <phoneticPr fontId="2" type="noConversion"/>
  </si>
  <si>
    <t>매출입금303</t>
  </si>
  <si>
    <t>매출입금025</t>
  </si>
  <si>
    <t>매출입금170</t>
  </si>
  <si>
    <t>고객057</t>
    <phoneticPr fontId="2" type="noConversion"/>
  </si>
  <si>
    <t>매출입금217</t>
  </si>
  <si>
    <t>고객041</t>
  </si>
  <si>
    <t>지출831</t>
  </si>
  <si>
    <t>매출입금308</t>
  </si>
  <si>
    <t>지출226</t>
  </si>
  <si>
    <t>매출입금569</t>
  </si>
  <si>
    <t>고객055</t>
  </si>
  <si>
    <t>매출입금616</t>
  </si>
  <si>
    <t>지출674</t>
  </si>
  <si>
    <t>지출962</t>
  </si>
  <si>
    <t>매출입금727</t>
  </si>
  <si>
    <t>지출202</t>
  </si>
  <si>
    <t>지출996</t>
  </si>
  <si>
    <t>지출165</t>
  </si>
  <si>
    <t>지출503</t>
  </si>
  <si>
    <t>지출033</t>
  </si>
  <si>
    <t>매출입금507</t>
  </si>
  <si>
    <t>지출966</t>
  </si>
  <si>
    <t>매출입금223</t>
  </si>
  <si>
    <t>지출340</t>
  </si>
  <si>
    <t>업체044</t>
  </si>
  <si>
    <t>지출122</t>
  </si>
  <si>
    <t>지출024</t>
  </si>
  <si>
    <t>매출입금647</t>
  </si>
  <si>
    <t>지출421</t>
  </si>
  <si>
    <t>업체015</t>
    <phoneticPr fontId="2" type="noConversion"/>
  </si>
  <si>
    <t>매출입금735</t>
  </si>
  <si>
    <t>고객010</t>
  </si>
  <si>
    <t>고객010</t>
    <phoneticPr fontId="2" type="noConversion"/>
  </si>
  <si>
    <t>매출입금063</t>
  </si>
  <si>
    <t>지출869</t>
  </si>
  <si>
    <t>매출입금752</t>
  </si>
  <si>
    <t>매출입금773</t>
  </si>
  <si>
    <t>매출입금349</t>
  </si>
  <si>
    <t>지출359</t>
  </si>
  <si>
    <t>매출입금898</t>
  </si>
  <si>
    <t>매출입금193</t>
  </si>
  <si>
    <t>고객017</t>
  </si>
  <si>
    <t>고객017</t>
    <phoneticPr fontId="2" type="noConversion"/>
  </si>
  <si>
    <t>지출736</t>
  </si>
  <si>
    <t>매출입금932</t>
  </si>
  <si>
    <t>매출입금968</t>
  </si>
  <si>
    <t>매출입금188</t>
  </si>
  <si>
    <t>지출724</t>
  </si>
  <si>
    <t>매출입금101</t>
  </si>
  <si>
    <t>지출171</t>
  </si>
  <si>
    <t>매출입금915</t>
  </si>
  <si>
    <t>매출입금122</t>
  </si>
  <si>
    <t>고객045</t>
  </si>
  <si>
    <t>지출448</t>
  </si>
  <si>
    <t>업체041</t>
    <phoneticPr fontId="2" type="noConversion"/>
  </si>
  <si>
    <t>매출입금056</t>
  </si>
  <si>
    <t>고객046</t>
    <phoneticPr fontId="2" type="noConversion"/>
  </si>
  <si>
    <t>지출425</t>
  </si>
  <si>
    <t>업체034</t>
    <phoneticPr fontId="2" type="noConversion"/>
  </si>
  <si>
    <t>매출입금762</t>
  </si>
  <si>
    <t>고객005</t>
    <phoneticPr fontId="2" type="noConversion"/>
  </si>
  <si>
    <t>매출입금010</t>
  </si>
  <si>
    <t>매출입금631</t>
  </si>
  <si>
    <t>매출입금843</t>
  </si>
  <si>
    <t>지출964</t>
  </si>
  <si>
    <t>지출449</t>
  </si>
  <si>
    <t>매출입금945</t>
  </si>
  <si>
    <t>지출552</t>
  </si>
  <si>
    <t>매출입금967</t>
  </si>
  <si>
    <t>지출190</t>
  </si>
  <si>
    <t>고객088</t>
  </si>
  <si>
    <t>지출001</t>
  </si>
  <si>
    <t>지출419</t>
  </si>
  <si>
    <t>지출949</t>
  </si>
  <si>
    <t>매출입금640</t>
  </si>
  <si>
    <t>매출입금279</t>
  </si>
  <si>
    <t>매출입금187</t>
  </si>
  <si>
    <t>매출입금555</t>
  </si>
  <si>
    <t>지출508</t>
  </si>
  <si>
    <t>매출입금175</t>
  </si>
  <si>
    <t>지출477</t>
  </si>
  <si>
    <t>매출입금356</t>
  </si>
  <si>
    <t>매출입금548</t>
  </si>
  <si>
    <t>매출입금364</t>
  </si>
  <si>
    <t>매출입금197</t>
  </si>
  <si>
    <t>지출070</t>
  </si>
  <si>
    <t>매출입금508</t>
  </si>
  <si>
    <t>지출179</t>
  </si>
  <si>
    <t>업체042</t>
    <phoneticPr fontId="2" type="noConversion"/>
  </si>
  <si>
    <t>매출입금020</t>
  </si>
  <si>
    <t>매출입금354</t>
  </si>
  <si>
    <t>지출799</t>
  </si>
  <si>
    <t>매출입금688</t>
  </si>
  <si>
    <t>지출230</t>
  </si>
  <si>
    <t>매출입금547</t>
  </si>
  <si>
    <t>지출528</t>
  </si>
  <si>
    <t>지출096</t>
  </si>
  <si>
    <t>매출입금820</t>
  </si>
  <si>
    <t>매출입금408</t>
  </si>
  <si>
    <t>지출225</t>
  </si>
  <si>
    <t>매출입금328</t>
  </si>
  <si>
    <t>지출377</t>
  </si>
  <si>
    <t>지출889</t>
  </si>
  <si>
    <t>매출입금365</t>
  </si>
  <si>
    <t>고객069</t>
    <phoneticPr fontId="2" type="noConversion"/>
  </si>
  <si>
    <t>지출969</t>
  </si>
  <si>
    <t>매출입금092</t>
  </si>
  <si>
    <t>지출919</t>
  </si>
  <si>
    <t>고객072</t>
    <phoneticPr fontId="2" type="noConversion"/>
  </si>
  <si>
    <t>매출입금870</t>
  </si>
  <si>
    <t>지출992</t>
  </si>
  <si>
    <t>업체025</t>
    <phoneticPr fontId="2" type="noConversion"/>
  </si>
  <si>
    <t>매출입금625</t>
  </si>
  <si>
    <t>매출입금302</t>
  </si>
  <si>
    <t>고객031</t>
  </si>
  <si>
    <t>고객031</t>
    <phoneticPr fontId="2" type="noConversion"/>
  </si>
  <si>
    <t>업체004</t>
    <phoneticPr fontId="2" type="noConversion"/>
  </si>
  <si>
    <t>매출입금782</t>
  </si>
  <si>
    <t>고객055</t>
    <phoneticPr fontId="2" type="noConversion"/>
  </si>
  <si>
    <t>매출입금988</t>
  </si>
  <si>
    <t>지출790</t>
  </si>
  <si>
    <t>매출입금876</t>
  </si>
  <si>
    <t>매출입금359</t>
  </si>
  <si>
    <t>매출입금845</t>
  </si>
  <si>
    <t>매출입금242</t>
  </si>
  <si>
    <t>매출입금515</t>
  </si>
  <si>
    <t>매출입금882</t>
  </si>
  <si>
    <t>매출입금830</t>
  </si>
  <si>
    <t>고객006</t>
  </si>
  <si>
    <t>매출입금084</t>
  </si>
  <si>
    <t>매출입금613</t>
  </si>
  <si>
    <t>지출764</t>
  </si>
  <si>
    <t>매출입금316</t>
  </si>
  <si>
    <t>지출893</t>
  </si>
  <si>
    <t>매출입금491</t>
  </si>
  <si>
    <t>매출입금593</t>
  </si>
  <si>
    <t>지출403</t>
  </si>
  <si>
    <t>지출858</t>
  </si>
  <si>
    <t>매출입금856</t>
  </si>
  <si>
    <t>매출입금694</t>
  </si>
  <si>
    <t>지출172</t>
  </si>
  <si>
    <t>지출484</t>
  </si>
  <si>
    <t>매출입금600</t>
  </si>
  <si>
    <t>지출866</t>
  </si>
  <si>
    <t>지출414</t>
  </si>
  <si>
    <t>매출입금536</t>
  </si>
  <si>
    <t>고객074</t>
    <phoneticPr fontId="2" type="noConversion"/>
  </si>
  <si>
    <t>매출입금558</t>
  </si>
  <si>
    <t>지출467</t>
  </si>
  <si>
    <t>지출570</t>
  </si>
  <si>
    <t>매출입금712</t>
  </si>
  <si>
    <t>매출입금326</t>
  </si>
  <si>
    <t>매출입금148</t>
  </si>
  <si>
    <t>고객095</t>
    <phoneticPr fontId="2" type="noConversion"/>
  </si>
  <si>
    <t>매출입금276</t>
  </si>
  <si>
    <t>매출입금969</t>
  </si>
  <si>
    <t>매출입금338</t>
  </si>
  <si>
    <t>고객089</t>
  </si>
  <si>
    <t>지출597</t>
  </si>
  <si>
    <t>업체045</t>
  </si>
  <si>
    <t>지출680</t>
  </si>
  <si>
    <t>지출939</t>
  </si>
  <si>
    <t>지출957</t>
  </si>
  <si>
    <t>지출390</t>
  </si>
  <si>
    <t>매출입금971</t>
  </si>
  <si>
    <t>지출434</t>
  </si>
  <si>
    <t>매출입금737</t>
  </si>
  <si>
    <t>지출675</t>
  </si>
  <si>
    <t>매출입금013</t>
  </si>
  <si>
    <t>재료비</t>
    <phoneticPr fontId="7" type="noConversion"/>
  </si>
  <si>
    <t>지출763</t>
  </si>
  <si>
    <t>매출입금798</t>
  </si>
  <si>
    <t>고객088</t>
    <phoneticPr fontId="2" type="noConversion"/>
  </si>
  <si>
    <t>지출578</t>
  </si>
  <si>
    <t>매출입금657</t>
  </si>
  <si>
    <t>고객065</t>
    <phoneticPr fontId="2" type="noConversion"/>
  </si>
  <si>
    <t>매출입금287</t>
  </si>
  <si>
    <t>매출입금178</t>
  </si>
  <si>
    <t>고객098</t>
    <phoneticPr fontId="2" type="noConversion"/>
  </si>
  <si>
    <t>매출입금909</t>
  </si>
  <si>
    <t>고객056</t>
    <phoneticPr fontId="2" type="noConversion"/>
  </si>
  <si>
    <t>지출478</t>
  </si>
  <si>
    <t>매출입금994</t>
  </si>
  <si>
    <t>고객076</t>
    <phoneticPr fontId="2" type="noConversion"/>
  </si>
  <si>
    <t>지출163</t>
  </si>
  <si>
    <t>지출253</t>
  </si>
  <si>
    <t>지출116</t>
  </si>
  <si>
    <t>매출입금463</t>
  </si>
  <si>
    <t>매출입금018</t>
  </si>
  <si>
    <t>매출입금212</t>
  </si>
  <si>
    <t>지출602</t>
  </si>
  <si>
    <t>매출입금393</t>
  </si>
  <si>
    <t>매출입금327</t>
  </si>
  <si>
    <t>지출761</t>
  </si>
  <si>
    <t>지출023</t>
  </si>
  <si>
    <t>매출입금931</t>
  </si>
  <si>
    <t>지출305</t>
  </si>
  <si>
    <t>고객064</t>
    <phoneticPr fontId="2" type="noConversion"/>
  </si>
  <si>
    <t>매출입금684</t>
  </si>
  <si>
    <t>매출입금663</t>
  </si>
  <si>
    <t>매출입금128</t>
  </si>
  <si>
    <t>고객035</t>
    <phoneticPr fontId="2" type="noConversion"/>
  </si>
  <si>
    <t>매출입금286</t>
  </si>
  <si>
    <t>매출입금668</t>
  </si>
  <si>
    <t>고객027</t>
    <phoneticPr fontId="2" type="noConversion"/>
  </si>
  <si>
    <t>지출325</t>
  </si>
  <si>
    <t>업체005</t>
    <phoneticPr fontId="2" type="noConversion"/>
  </si>
  <si>
    <t>매출입금042</t>
  </si>
  <si>
    <t>지출407</t>
  </si>
  <si>
    <t>매출입금897</t>
  </si>
  <si>
    <t>매출입금004</t>
  </si>
  <si>
    <t>지출820</t>
  </si>
  <si>
    <t>업체050</t>
    <phoneticPr fontId="2" type="noConversion"/>
  </si>
  <si>
    <t>매출입금755</t>
  </si>
  <si>
    <t>고객029</t>
    <phoneticPr fontId="2" type="noConversion"/>
  </si>
  <si>
    <t>매출입금987</t>
  </si>
  <si>
    <t>지출250</t>
  </si>
  <si>
    <t>매출입금922</t>
  </si>
  <si>
    <t>지출427</t>
  </si>
  <si>
    <t>지출080</t>
  </si>
  <si>
    <t>지출573</t>
  </si>
  <si>
    <t>매출입금711</t>
  </si>
  <si>
    <t>매출입금239</t>
  </si>
  <si>
    <t>매출입금674</t>
  </si>
  <si>
    <t>매출입금229</t>
  </si>
  <si>
    <t>고객081</t>
    <phoneticPr fontId="2" type="noConversion"/>
  </si>
  <si>
    <t>매출입금271</t>
  </si>
  <si>
    <t>업체003</t>
    <phoneticPr fontId="2" type="noConversion"/>
  </si>
  <si>
    <t>매출입금209</t>
  </si>
  <si>
    <t>매출입금372</t>
  </si>
  <si>
    <t>매출입금702</t>
  </si>
  <si>
    <t>지출280</t>
  </si>
  <si>
    <t>지출196</t>
  </si>
  <si>
    <t>업체048</t>
    <phoneticPr fontId="2" type="noConversion"/>
  </si>
  <si>
    <t>매출입금447</t>
  </si>
  <si>
    <t>지출814</t>
  </si>
  <si>
    <t>지출897</t>
  </si>
  <si>
    <t>지출860</t>
  </si>
  <si>
    <t>매출입금686</t>
  </si>
  <si>
    <t>매출입금639</t>
  </si>
  <si>
    <t>지출760</t>
  </si>
  <si>
    <t>업체045</t>
    <phoneticPr fontId="2" type="noConversion"/>
  </si>
  <si>
    <t>지출951</t>
  </si>
  <si>
    <t>매출입금030</t>
  </si>
  <si>
    <t>매출입금911</t>
  </si>
  <si>
    <t>매출입금947</t>
  </si>
  <si>
    <t>매출입금521</t>
  </si>
  <si>
    <t>지출984</t>
  </si>
  <si>
    <t>지출569</t>
  </si>
  <si>
    <t>지출708</t>
  </si>
  <si>
    <t>지출211</t>
  </si>
  <si>
    <t>지출825</t>
  </si>
  <si>
    <t>매출입금728</t>
  </si>
  <si>
    <t>지출075</t>
  </si>
  <si>
    <t>매출입금091</t>
  </si>
  <si>
    <t>매출입금098</t>
  </si>
  <si>
    <t>매출입금781</t>
  </si>
  <si>
    <t>지출993</t>
  </si>
  <si>
    <t>업체038</t>
    <phoneticPr fontId="2" type="noConversion"/>
  </si>
  <si>
    <t>지출676</t>
  </si>
  <si>
    <t>매출입금732</t>
  </si>
  <si>
    <t>고객054</t>
    <phoneticPr fontId="2" type="noConversion"/>
  </si>
  <si>
    <t>지출222</t>
  </si>
  <si>
    <t>지출464</t>
  </si>
  <si>
    <t>업체044</t>
    <phoneticPr fontId="2" type="noConversion"/>
  </si>
  <si>
    <t>매출입금031</t>
  </si>
  <si>
    <t>매출입금682</t>
  </si>
  <si>
    <t>매출입금214</t>
  </si>
  <si>
    <t>지출433</t>
  </si>
  <si>
    <t>매출입금343</t>
  </si>
  <si>
    <t>고객036</t>
    <phoneticPr fontId="2" type="noConversion"/>
  </si>
  <si>
    <t>매출입금387</t>
  </si>
  <si>
    <t>고객066</t>
    <phoneticPr fontId="2" type="noConversion"/>
  </si>
  <si>
    <t>매출입금035</t>
  </si>
  <si>
    <t>고객071</t>
    <phoneticPr fontId="2" type="noConversion"/>
  </si>
  <si>
    <t>지출252</t>
  </si>
  <si>
    <t>매출입금989</t>
  </si>
  <si>
    <t>지출337</t>
  </si>
  <si>
    <t>매출입금159</t>
  </si>
  <si>
    <t>지출739</t>
  </si>
  <si>
    <t>매출입금912</t>
  </si>
  <si>
    <t>지출053</t>
  </si>
  <si>
    <t>업체013</t>
    <phoneticPr fontId="2" type="noConversion"/>
  </si>
  <si>
    <t>지출838</t>
  </si>
  <si>
    <t>지출522</t>
  </si>
  <si>
    <t>지출150</t>
  </si>
  <si>
    <t>매출입금889</t>
  </si>
  <si>
    <t>고객100</t>
    <phoneticPr fontId="2" type="noConversion"/>
  </si>
  <si>
    <t>지출619</t>
  </si>
  <si>
    <t>업체021</t>
    <phoneticPr fontId="2" type="noConversion"/>
  </si>
  <si>
    <t>지출270</t>
  </si>
  <si>
    <t>지출932</t>
  </si>
  <si>
    <t>업체049</t>
    <phoneticPr fontId="2" type="noConversion"/>
  </si>
  <si>
    <t>지출248</t>
  </si>
  <si>
    <t>매출입금310</t>
  </si>
  <si>
    <t>매출입금022</t>
  </si>
  <si>
    <t>지출833</t>
  </si>
  <si>
    <t>업체010</t>
    <phoneticPr fontId="2" type="noConversion"/>
  </si>
  <si>
    <t>매출입금795</t>
  </si>
  <si>
    <t>매출입금646</t>
  </si>
  <si>
    <t>지출497</t>
  </si>
  <si>
    <t>지출073</t>
  </si>
  <si>
    <t>고객091</t>
    <phoneticPr fontId="2" type="noConversion"/>
  </si>
  <si>
    <t>매출입금207</t>
  </si>
  <si>
    <t>매출입금448</t>
  </si>
  <si>
    <t>매출입금760</t>
  </si>
  <si>
    <t>고객089</t>
    <phoneticPr fontId="2" type="noConversion"/>
  </si>
  <si>
    <t>지출643</t>
  </si>
  <si>
    <t>지출807</t>
  </si>
  <si>
    <t>지출007</t>
  </si>
  <si>
    <t>지출855</t>
  </si>
  <si>
    <t>지출759</t>
  </si>
  <si>
    <t>지출483</t>
  </si>
  <si>
    <t>지출266</t>
  </si>
  <si>
    <t>매출입금094</t>
  </si>
  <si>
    <t>지출345</t>
  </si>
  <si>
    <t>매출입금874</t>
  </si>
  <si>
    <t>지출329</t>
  </si>
  <si>
    <t>매출입금721</t>
  </si>
  <si>
    <t>매출입금581</t>
  </si>
  <si>
    <t>고객092</t>
    <phoneticPr fontId="2" type="noConversion"/>
  </si>
  <si>
    <t>고객020</t>
    <phoneticPr fontId="2" type="noConversion"/>
  </si>
  <si>
    <t>확인불가</t>
  </si>
  <si>
    <t>승인상태:</t>
    <phoneticPr fontId="2" type="noConversion"/>
  </si>
  <si>
    <t>연결실패</t>
  </si>
  <si>
    <t>승인상태</t>
  </si>
  <si>
    <t>연결오류</t>
    <phoneticPr fontId="2" type="noConversion"/>
  </si>
  <si>
    <t>업데이트시간</t>
    <phoneticPr fontId="2" type="noConversion"/>
  </si>
  <si>
    <t>자동 데이터 수집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</si>
</sst>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###,##0"/>
    <numFmt numFmtId="177" formatCode="0_);[Red]\(0\)"/>
    <numFmt numFmtId="178" formatCode="#,##0_ "/>
    <numFmt numFmtId="179" formatCode="###,###,###"/>
  </numFmts>
  <fonts count="3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9"/>
      <color rgb="FF000000"/>
      <name val="NanumGothic"/>
      <family val="2"/>
    </font>
    <font>
      <b/>
      <sz val="9"/>
      <color rgb="FF000000"/>
      <name val="NanumGothic"/>
      <family val="3"/>
    </font>
    <font>
      <sz val="10"/>
      <color rgb="FF000000"/>
      <name val="맑은 고딕"/>
      <family val="3"/>
      <charset val="129"/>
    </font>
    <font>
      <sz val="10"/>
      <color rgb="FF000000"/>
      <name val="Arial"/>
      <family val="2"/>
    </font>
    <font>
      <sz val="9"/>
      <color rgb="FF00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9"/>
      <color rgb="FF000000"/>
      <name val="바탕체"/>
      <family val="1"/>
      <charset val="129"/>
    </font>
    <font>
      <sz val="9"/>
      <color rgb="FFFF0000"/>
      <name val="바탕체"/>
      <family val="1"/>
      <charset val="129"/>
    </font>
    <font>
      <sz val="10"/>
      <color rgb="FF000000"/>
      <name val="NanumGothic"/>
      <family val="3"/>
    </font>
    <font>
      <sz val="10"/>
      <color rgb="FFFF0000"/>
      <name val="맑은 고딕"/>
      <family val="3"/>
      <charset val="129"/>
    </font>
    <font>
      <sz val="10"/>
      <color rgb="FF000000"/>
      <name val="바탕체"/>
      <family val="1"/>
      <charset val="129"/>
    </font>
    <font>
      <sz val="10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u/>
      <sz val="10"/>
      <color theme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rgb="FF646464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i/>
      <sz val="9"/>
      <color rgb="FF646464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8"/>
      <color rgb="FF00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8CBAC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4B18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FABDB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8496B1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8FFC8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1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9" fillId="0" borderId="0"/>
    <xf numFmtId="0" fontId="20" fillId="0" borderId="0" applyNumberFormat="0" applyFill="0" applyBorder="0" applyAlignment="0" applyProtection="0">
      <alignment vertical="center"/>
    </xf>
  </cellStyleXfs>
  <cellXfs count="330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1" applyFont="1" applyFill="1" applyBorder="1" applyAlignment="1">
      <alignment horizontal="center" vertical="center"/>
    </xf>
    <xf numFmtId="41" fontId="3" fillId="2" borderId="2" xfId="1" applyFont="1" applyFill="1" applyBorder="1" applyAlignment="1">
      <alignment horizontal="center" vertical="center"/>
    </xf>
    <xf numFmtId="41" fontId="3" fillId="2" borderId="3" xfId="1" applyFont="1" applyFill="1" applyBorder="1" applyAlignment="1">
      <alignment horizontal="center" vertical="center"/>
    </xf>
    <xf numFmtId="41" fontId="3" fillId="2" borderId="4" xfId="1" applyFont="1" applyFill="1" applyBorder="1">
      <alignment vertical="center"/>
    </xf>
    <xf numFmtId="41" fontId="3" fillId="0" borderId="4" xfId="1" applyFont="1" applyFill="1" applyBorder="1">
      <alignment vertical="center"/>
    </xf>
    <xf numFmtId="41" fontId="3" fillId="2" borderId="5" xfId="1" applyFont="1" applyFill="1" applyBorder="1">
      <alignment vertical="center"/>
    </xf>
    <xf numFmtId="41" fontId="3" fillId="0" borderId="5" xfId="1" applyFont="1" applyFill="1" applyBorder="1">
      <alignment vertical="center"/>
    </xf>
    <xf numFmtId="41" fontId="3" fillId="2" borderId="6" xfId="1" applyFont="1" applyFill="1" applyBorder="1">
      <alignment vertical="center"/>
    </xf>
    <xf numFmtId="41" fontId="3" fillId="3" borderId="5" xfId="1" applyFont="1" applyFill="1" applyBorder="1">
      <alignment vertical="center"/>
    </xf>
    <xf numFmtId="41" fontId="4" fillId="0" borderId="0" xfId="1" applyFont="1">
      <alignment vertical="center"/>
    </xf>
    <xf numFmtId="0" fontId="4" fillId="0" borderId="0" xfId="0" applyFont="1">
      <alignment vertical="center"/>
    </xf>
    <xf numFmtId="9" fontId="4" fillId="0" borderId="0" xfId="2" applyFont="1">
      <alignment vertical="center"/>
    </xf>
    <xf numFmtId="9" fontId="5" fillId="0" borderId="0" xfId="2" applyFont="1" applyAlignment="1">
      <alignment horizontal="left" vertical="center"/>
    </xf>
    <xf numFmtId="0" fontId="4" fillId="2" borderId="5" xfId="0" applyFont="1" applyFill="1" applyBorder="1">
      <alignment vertical="center"/>
    </xf>
    <xf numFmtId="41" fontId="4" fillId="2" borderId="5" xfId="0" applyNumberFormat="1" applyFont="1" applyFill="1" applyBorder="1">
      <alignment vertical="center"/>
    </xf>
    <xf numFmtId="9" fontId="4" fillId="0" borderId="0" xfId="2" applyFont="1" applyAlignment="1">
      <alignment horizontal="left" vertical="center"/>
    </xf>
    <xf numFmtId="41" fontId="3" fillId="0" borderId="0" xfId="1" applyFont="1">
      <alignment vertical="center"/>
    </xf>
    <xf numFmtId="41" fontId="4" fillId="0" borderId="0" xfId="1" applyFont="1" applyFill="1" applyBorder="1">
      <alignment vertical="center"/>
    </xf>
    <xf numFmtId="0" fontId="6" fillId="0" borderId="0" xfId="3" applyAlignment="1">
      <alignment horizontal="center" vertical="center"/>
    </xf>
    <xf numFmtId="0" fontId="6" fillId="0" borderId="0" xfId="3">
      <alignment vertical="center"/>
    </xf>
    <xf numFmtId="41" fontId="6" fillId="0" borderId="0" xfId="4">
      <alignment vertical="center"/>
    </xf>
    <xf numFmtId="0" fontId="8" fillId="0" borderId="0" xfId="3" applyFont="1" applyAlignment="1">
      <alignment horizontal="center" vertical="center"/>
    </xf>
    <xf numFmtId="0" fontId="9" fillId="0" borderId="7" xfId="3" applyFont="1" applyBorder="1" applyAlignment="1">
      <alignment horizontal="center" vertical="center" wrapText="1"/>
    </xf>
    <xf numFmtId="41" fontId="9" fillId="0" borderId="7" xfId="4" applyFont="1" applyBorder="1" applyAlignment="1">
      <alignment horizontal="center" vertical="center" wrapText="1"/>
    </xf>
    <xf numFmtId="0" fontId="9" fillId="0" borderId="8" xfId="3" applyFont="1" applyBorder="1" applyAlignment="1">
      <alignment horizontal="center" vertical="center" wrapText="1"/>
    </xf>
    <xf numFmtId="0" fontId="8" fillId="0" borderId="5" xfId="3" applyFont="1" applyBorder="1" applyAlignment="1">
      <alignment horizontal="center" vertical="center" wrapText="1"/>
    </xf>
    <xf numFmtId="41" fontId="8" fillId="0" borderId="5" xfId="4" applyFont="1" applyBorder="1" applyAlignment="1">
      <alignment horizontal="right" vertical="center" wrapText="1"/>
    </xf>
    <xf numFmtId="0" fontId="8" fillId="0" borderId="5" xfId="3" applyFont="1" applyBorder="1" applyAlignment="1">
      <alignment horizontal="center" vertical="center"/>
    </xf>
    <xf numFmtId="41" fontId="10" fillId="4" borderId="5" xfId="4" applyFont="1" applyFill="1" applyBorder="1">
      <alignment vertical="center"/>
    </xf>
    <xf numFmtId="0" fontId="10" fillId="0" borderId="5" xfId="3" applyFont="1" applyBorder="1" applyAlignment="1">
      <alignment horizontal="center" vertical="center"/>
    </xf>
    <xf numFmtId="41" fontId="8" fillId="5" borderId="5" xfId="4" applyFont="1" applyFill="1" applyBorder="1" applyAlignment="1">
      <alignment horizontal="right" vertical="center" wrapText="1"/>
    </xf>
    <xf numFmtId="0" fontId="6" fillId="0" borderId="5" xfId="3" applyBorder="1">
      <alignment vertical="center"/>
    </xf>
    <xf numFmtId="0" fontId="8" fillId="6" borderId="5" xfId="3" applyFont="1" applyFill="1" applyBorder="1" applyAlignment="1">
      <alignment horizontal="center" vertical="center" wrapText="1"/>
    </xf>
    <xf numFmtId="41" fontId="8" fillId="6" borderId="5" xfId="4" applyFont="1" applyFill="1" applyBorder="1" applyAlignment="1">
      <alignment horizontal="right" vertical="center" wrapText="1"/>
    </xf>
    <xf numFmtId="0" fontId="8" fillId="6" borderId="5" xfId="3" applyFont="1" applyFill="1" applyBorder="1" applyAlignment="1">
      <alignment horizontal="center" vertical="center"/>
    </xf>
    <xf numFmtId="3" fontId="10" fillId="7" borderId="5" xfId="5" applyNumberFormat="1" applyFont="1" applyFill="1" applyBorder="1" applyAlignment="1">
      <alignment horizontal="right" vertical="center"/>
    </xf>
    <xf numFmtId="0" fontId="8" fillId="7" borderId="5" xfId="3" applyFont="1" applyFill="1" applyBorder="1" applyAlignment="1">
      <alignment horizontal="center" vertical="center" wrapText="1"/>
    </xf>
    <xf numFmtId="3" fontId="10" fillId="7" borderId="5" xfId="6" applyNumberFormat="1" applyFont="1" applyFill="1" applyBorder="1" applyAlignment="1">
      <alignment horizontal="right" vertical="center"/>
    </xf>
    <xf numFmtId="0" fontId="8" fillId="0" borderId="5" xfId="3" quotePrefix="1" applyFont="1" applyBorder="1" applyAlignment="1">
      <alignment horizontal="center" vertical="center"/>
    </xf>
    <xf numFmtId="41" fontId="10" fillId="8" borderId="5" xfId="4" applyFont="1" applyFill="1" applyBorder="1">
      <alignment vertical="center"/>
    </xf>
    <xf numFmtId="0" fontId="10" fillId="0" borderId="5" xfId="3" applyFont="1" applyBorder="1">
      <alignment vertical="center"/>
    </xf>
    <xf numFmtId="0" fontId="10" fillId="4" borderId="5" xfId="3" applyFont="1" applyFill="1" applyBorder="1">
      <alignment vertical="center"/>
    </xf>
    <xf numFmtId="3" fontId="10" fillId="7" borderId="5" xfId="7" applyNumberFormat="1" applyFont="1" applyFill="1" applyBorder="1" applyAlignment="1">
      <alignment horizontal="right" vertical="center"/>
    </xf>
    <xf numFmtId="41" fontId="8" fillId="9" borderId="5" xfId="4" applyFont="1" applyFill="1" applyBorder="1" applyAlignment="1">
      <alignment horizontal="right" vertical="center" wrapText="1"/>
    </xf>
    <xf numFmtId="3" fontId="10" fillId="7" borderId="5" xfId="8" applyNumberFormat="1" applyFont="1" applyFill="1" applyBorder="1" applyAlignment="1">
      <alignment horizontal="right" vertical="center"/>
    </xf>
    <xf numFmtId="0" fontId="8" fillId="0" borderId="5" xfId="9" applyFont="1" applyBorder="1" applyAlignment="1">
      <alignment horizontal="center" vertical="center" wrapText="1"/>
    </xf>
    <xf numFmtId="0" fontId="8" fillId="0" borderId="5" xfId="10" applyFont="1" applyBorder="1" applyAlignment="1">
      <alignment horizontal="center" vertical="center" wrapText="1"/>
    </xf>
    <xf numFmtId="0" fontId="8" fillId="0" borderId="5" xfId="11" applyFont="1" applyBorder="1" applyAlignment="1">
      <alignment horizontal="center" vertical="center" wrapText="1"/>
    </xf>
    <xf numFmtId="0" fontId="8" fillId="0" borderId="5" xfId="12" applyFont="1" applyBorder="1" applyAlignment="1">
      <alignment horizontal="center" vertical="center" wrapText="1"/>
    </xf>
    <xf numFmtId="0" fontId="8" fillId="0" borderId="5" xfId="13" applyFont="1" applyBorder="1" applyAlignment="1">
      <alignment horizontal="center" vertical="center" wrapText="1"/>
    </xf>
    <xf numFmtId="0" fontId="8" fillId="0" borderId="5" xfId="14" applyFont="1" applyBorder="1" applyAlignment="1">
      <alignment horizontal="center" vertical="center" wrapText="1"/>
    </xf>
    <xf numFmtId="0" fontId="8" fillId="0" borderId="5" xfId="15" applyFont="1" applyBorder="1" applyAlignment="1">
      <alignment horizontal="center" vertical="center" wrapText="1"/>
    </xf>
    <xf numFmtId="0" fontId="12" fillId="0" borderId="5" xfId="3" applyFont="1" applyBorder="1" applyAlignment="1">
      <alignment horizontal="center" vertical="center"/>
    </xf>
    <xf numFmtId="0" fontId="8" fillId="10" borderId="5" xfId="16" applyFont="1" applyFill="1" applyBorder="1" applyAlignment="1">
      <alignment horizontal="center" vertical="center" wrapText="1"/>
    </xf>
    <xf numFmtId="0" fontId="8" fillId="10" borderId="5" xfId="17" applyFont="1" applyFill="1" applyBorder="1" applyAlignment="1">
      <alignment horizontal="center" vertical="center" wrapText="1"/>
    </xf>
    <xf numFmtId="0" fontId="8" fillId="10" borderId="5" xfId="18" applyFont="1" applyFill="1" applyBorder="1" applyAlignment="1">
      <alignment horizontal="center" vertical="center" wrapText="1"/>
    </xf>
    <xf numFmtId="0" fontId="8" fillId="0" borderId="5" xfId="17" applyFont="1" applyBorder="1" applyAlignment="1">
      <alignment horizontal="center" vertical="center" wrapText="1"/>
    </xf>
    <xf numFmtId="0" fontId="8" fillId="0" borderId="5" xfId="19" applyFont="1" applyBorder="1" applyAlignment="1">
      <alignment horizontal="center" vertical="center" wrapText="1"/>
    </xf>
    <xf numFmtId="0" fontId="8" fillId="0" borderId="5" xfId="18" applyFont="1" applyBorder="1" applyAlignment="1">
      <alignment horizontal="center" vertical="center" wrapText="1"/>
    </xf>
    <xf numFmtId="0" fontId="8" fillId="0" borderId="5" xfId="20" applyFont="1" applyBorder="1" applyAlignment="1">
      <alignment horizontal="center" vertical="center" wrapText="1"/>
    </xf>
    <xf numFmtId="0" fontId="8" fillId="0" borderId="5" xfId="21" applyFont="1" applyBorder="1" applyAlignment="1">
      <alignment horizontal="center" vertical="center" wrapText="1"/>
    </xf>
    <xf numFmtId="0" fontId="8" fillId="5" borderId="5" xfId="3" applyFont="1" applyFill="1" applyBorder="1" applyAlignment="1">
      <alignment horizontal="center" vertical="center" wrapText="1"/>
    </xf>
    <xf numFmtId="0" fontId="8" fillId="0" borderId="5" xfId="22" applyFont="1" applyBorder="1" applyAlignment="1">
      <alignment horizontal="center" vertical="center" wrapText="1"/>
    </xf>
    <xf numFmtId="0" fontId="8" fillId="0" borderId="5" xfId="23" applyFont="1" applyBorder="1" applyAlignment="1">
      <alignment horizontal="center" vertical="center" wrapText="1"/>
    </xf>
    <xf numFmtId="41" fontId="10" fillId="11" borderId="5" xfId="4" applyFont="1" applyFill="1" applyBorder="1">
      <alignment vertical="center"/>
    </xf>
    <xf numFmtId="41" fontId="10" fillId="9" borderId="5" xfId="4" applyFont="1" applyFill="1" applyBorder="1">
      <alignment vertical="center"/>
    </xf>
    <xf numFmtId="0" fontId="8" fillId="0" borderId="5" xfId="24" applyFont="1" applyBorder="1" applyAlignment="1">
      <alignment horizontal="center" vertical="center" wrapText="1"/>
    </xf>
    <xf numFmtId="0" fontId="8" fillId="0" borderId="5" xfId="25" applyFont="1" applyBorder="1" applyAlignment="1">
      <alignment horizontal="center" vertical="center" wrapText="1"/>
    </xf>
    <xf numFmtId="0" fontId="8" fillId="0" borderId="5" xfId="26" applyFont="1" applyBorder="1" applyAlignment="1">
      <alignment horizontal="center" vertical="center" wrapText="1"/>
    </xf>
    <xf numFmtId="0" fontId="8" fillId="0" borderId="5" xfId="27" applyFont="1" applyBorder="1" applyAlignment="1">
      <alignment horizontal="center" vertical="center" wrapText="1"/>
    </xf>
    <xf numFmtId="0" fontId="8" fillId="0" borderId="5" xfId="28" applyFont="1" applyBorder="1" applyAlignment="1">
      <alignment horizontal="center" vertical="center" wrapText="1"/>
    </xf>
    <xf numFmtId="0" fontId="10" fillId="0" borderId="0" xfId="3" applyFont="1">
      <alignment vertical="center"/>
    </xf>
    <xf numFmtId="0" fontId="8" fillId="12" borderId="5" xfId="3" applyFont="1" applyFill="1" applyBorder="1" applyAlignment="1">
      <alignment horizontal="center" vertical="center" wrapText="1"/>
    </xf>
    <xf numFmtId="3" fontId="8" fillId="12" borderId="5" xfId="3" applyNumberFormat="1" applyFont="1" applyFill="1" applyBorder="1" applyAlignment="1">
      <alignment horizontal="right" vertical="center" wrapText="1"/>
    </xf>
    <xf numFmtId="0" fontId="8" fillId="12" borderId="5" xfId="29" applyFont="1" applyFill="1" applyBorder="1" applyAlignment="1">
      <alignment horizontal="center" vertical="center" wrapText="1"/>
    </xf>
    <xf numFmtId="3" fontId="8" fillId="12" borderId="5" xfId="29" applyNumberFormat="1" applyFont="1" applyFill="1" applyBorder="1" applyAlignment="1">
      <alignment horizontal="right" vertical="center" wrapText="1"/>
    </xf>
    <xf numFmtId="0" fontId="8" fillId="12" borderId="5" xfId="30" applyFont="1" applyFill="1" applyBorder="1" applyAlignment="1">
      <alignment horizontal="center" vertical="center" wrapText="1"/>
    </xf>
    <xf numFmtId="3" fontId="8" fillId="12" borderId="5" xfId="30" applyNumberFormat="1" applyFont="1" applyFill="1" applyBorder="1" applyAlignment="1">
      <alignment horizontal="right" vertical="center" wrapText="1"/>
    </xf>
    <xf numFmtId="0" fontId="8" fillId="12" borderId="5" xfId="31" applyFont="1" applyFill="1" applyBorder="1" applyAlignment="1">
      <alignment horizontal="center" vertical="center" wrapText="1"/>
    </xf>
    <xf numFmtId="3" fontId="8" fillId="12" borderId="5" xfId="31" applyNumberFormat="1" applyFont="1" applyFill="1" applyBorder="1" applyAlignment="1">
      <alignment horizontal="right" vertical="center" wrapText="1"/>
    </xf>
    <xf numFmtId="0" fontId="10" fillId="12" borderId="5" xfId="3" applyFont="1" applyFill="1" applyBorder="1" applyAlignment="1">
      <alignment horizontal="center" vertical="center"/>
    </xf>
    <xf numFmtId="3" fontId="10" fillId="12" borderId="5" xfId="3" applyNumberFormat="1" applyFont="1" applyFill="1" applyBorder="1" applyAlignment="1">
      <alignment horizontal="center" vertical="center"/>
    </xf>
    <xf numFmtId="0" fontId="8" fillId="12" borderId="5" xfId="32" applyFont="1" applyFill="1" applyBorder="1" applyAlignment="1">
      <alignment horizontal="center" vertical="center" wrapText="1"/>
    </xf>
    <xf numFmtId="3" fontId="8" fillId="12" borderId="5" xfId="32" applyNumberFormat="1" applyFont="1" applyFill="1" applyBorder="1" applyAlignment="1">
      <alignment horizontal="right" vertical="center" wrapText="1"/>
    </xf>
    <xf numFmtId="0" fontId="8" fillId="12" borderId="5" xfId="33" applyFont="1" applyFill="1" applyBorder="1" applyAlignment="1">
      <alignment horizontal="center" vertical="center" wrapText="1"/>
    </xf>
    <xf numFmtId="3" fontId="8" fillId="12" borderId="5" xfId="33" applyNumberFormat="1" applyFont="1" applyFill="1" applyBorder="1" applyAlignment="1">
      <alignment horizontal="right" vertical="center" wrapText="1"/>
    </xf>
    <xf numFmtId="0" fontId="8" fillId="12" borderId="5" xfId="34" applyFont="1" applyFill="1" applyBorder="1" applyAlignment="1">
      <alignment horizontal="center" vertical="center" wrapText="1"/>
    </xf>
    <xf numFmtId="3" fontId="8" fillId="12" borderId="5" xfId="34" applyNumberFormat="1" applyFont="1" applyFill="1" applyBorder="1" applyAlignment="1">
      <alignment horizontal="right" vertical="center" wrapText="1"/>
    </xf>
    <xf numFmtId="0" fontId="8" fillId="12" borderId="5" xfId="34" applyFont="1" applyFill="1" applyBorder="1" applyAlignment="1">
      <alignment horizontal="center" vertical="center"/>
    </xf>
    <xf numFmtId="0" fontId="8" fillId="12" borderId="5" xfId="35" applyFont="1" applyFill="1" applyBorder="1" applyAlignment="1">
      <alignment horizontal="center" vertical="center" wrapText="1"/>
    </xf>
    <xf numFmtId="3" fontId="8" fillId="12" borderId="5" xfId="35" applyNumberFormat="1" applyFont="1" applyFill="1" applyBorder="1" applyAlignment="1">
      <alignment horizontal="right" vertical="center" wrapText="1"/>
    </xf>
    <xf numFmtId="3" fontId="8" fillId="12" borderId="9" xfId="35" applyNumberFormat="1" applyFont="1" applyFill="1" applyBorder="1" applyAlignment="1">
      <alignment horizontal="center" vertical="center" wrapText="1"/>
    </xf>
    <xf numFmtId="0" fontId="8" fillId="12" borderId="9" xfId="35" applyFont="1" applyFill="1" applyBorder="1" applyAlignment="1">
      <alignment horizontal="center" vertical="center" wrapText="1"/>
    </xf>
    <xf numFmtId="3" fontId="8" fillId="12" borderId="5" xfId="4" applyNumberFormat="1" applyFont="1" applyFill="1" applyBorder="1" applyAlignment="1">
      <alignment horizontal="right" vertical="center" wrapText="1"/>
    </xf>
    <xf numFmtId="0" fontId="10" fillId="12" borderId="5" xfId="3" applyFont="1" applyFill="1" applyBorder="1">
      <alignment vertical="center"/>
    </xf>
    <xf numFmtId="3" fontId="10" fillId="12" borderId="5" xfId="3" applyNumberFormat="1" applyFont="1" applyFill="1" applyBorder="1">
      <alignment vertical="center"/>
    </xf>
    <xf numFmtId="0" fontId="8" fillId="0" borderId="5" xfId="35" applyFont="1" applyBorder="1" applyAlignment="1">
      <alignment horizontal="center" vertical="center" wrapText="1"/>
    </xf>
    <xf numFmtId="3" fontId="8" fillId="0" borderId="5" xfId="4" applyNumberFormat="1" applyFont="1" applyBorder="1" applyAlignment="1">
      <alignment horizontal="right" vertical="center" wrapText="1"/>
    </xf>
    <xf numFmtId="0" fontId="8" fillId="0" borderId="5" xfId="33" applyFont="1" applyBorder="1" applyAlignment="1">
      <alignment horizontal="center" vertical="center" wrapText="1"/>
    </xf>
    <xf numFmtId="0" fontId="10" fillId="10" borderId="5" xfId="3" applyFont="1" applyFill="1" applyBorder="1" applyAlignment="1">
      <alignment horizontal="left"/>
    </xf>
    <xf numFmtId="176" fontId="10" fillId="10" borderId="5" xfId="3" applyNumberFormat="1" applyFont="1" applyFill="1" applyBorder="1" applyAlignment="1">
      <alignment horizontal="right"/>
    </xf>
    <xf numFmtId="0" fontId="8" fillId="10" borderId="5" xfId="3" applyFont="1" applyFill="1" applyBorder="1" applyAlignment="1">
      <alignment horizontal="center" vertical="center"/>
    </xf>
    <xf numFmtId="0" fontId="6" fillId="10" borderId="5" xfId="3" applyFill="1" applyBorder="1">
      <alignment vertical="center"/>
    </xf>
    <xf numFmtId="0" fontId="6" fillId="10" borderId="5" xfId="3" applyFill="1" applyBorder="1" applyAlignment="1">
      <alignment horizontal="center" vertical="center"/>
    </xf>
    <xf numFmtId="0" fontId="10" fillId="0" borderId="9" xfId="3" applyFont="1" applyBorder="1" applyAlignment="1">
      <alignment horizontal="center" vertical="center"/>
    </xf>
    <xf numFmtId="3" fontId="8" fillId="0" borderId="5" xfId="3" applyNumberFormat="1" applyFont="1" applyBorder="1" applyAlignment="1">
      <alignment horizontal="right" vertical="center" wrapText="1"/>
    </xf>
    <xf numFmtId="0" fontId="8" fillId="13" borderId="5" xfId="3" applyFont="1" applyFill="1" applyBorder="1" applyAlignment="1">
      <alignment horizontal="center" vertical="center" wrapText="1"/>
    </xf>
    <xf numFmtId="3" fontId="8" fillId="13" borderId="5" xfId="3" applyNumberFormat="1" applyFont="1" applyFill="1" applyBorder="1" applyAlignment="1">
      <alignment horizontal="right" vertical="center" wrapText="1"/>
    </xf>
    <xf numFmtId="0" fontId="8" fillId="13" borderId="10" xfId="3" applyFont="1" applyFill="1" applyBorder="1" applyAlignment="1">
      <alignment horizontal="center" vertical="center" wrapText="1"/>
    </xf>
    <xf numFmtId="3" fontId="8" fillId="13" borderId="10" xfId="3" applyNumberFormat="1" applyFont="1" applyFill="1" applyBorder="1" applyAlignment="1">
      <alignment horizontal="right" vertical="center" wrapText="1"/>
    </xf>
    <xf numFmtId="0" fontId="8" fillId="0" borderId="10" xfId="3" applyFont="1" applyBorder="1" applyAlignment="1">
      <alignment horizontal="center" vertical="center"/>
    </xf>
    <xf numFmtId="0" fontId="12" fillId="13" borderId="5" xfId="3" applyFont="1" applyFill="1" applyBorder="1" applyAlignment="1">
      <alignment horizontal="center" vertical="center" wrapText="1"/>
    </xf>
    <xf numFmtId="3" fontId="12" fillId="13" borderId="5" xfId="3" applyNumberFormat="1" applyFont="1" applyFill="1" applyBorder="1" applyAlignment="1">
      <alignment horizontal="right" vertical="center" wrapText="1"/>
    </xf>
    <xf numFmtId="0" fontId="8" fillId="0" borderId="11" xfId="3" applyFont="1" applyBorder="1" applyAlignment="1">
      <alignment horizontal="center" vertical="center" wrapText="1"/>
    </xf>
    <xf numFmtId="3" fontId="8" fillId="0" borderId="11" xfId="3" applyNumberFormat="1" applyFont="1" applyBorder="1" applyAlignment="1">
      <alignment horizontal="right" vertical="center" wrapText="1"/>
    </xf>
    <xf numFmtId="0" fontId="8" fillId="0" borderId="12" xfId="36" applyFont="1" applyBorder="1" applyAlignment="1">
      <alignment horizontal="center" vertical="center" wrapText="1"/>
    </xf>
    <xf numFmtId="3" fontId="8" fillId="0" borderId="12" xfId="36" applyNumberFormat="1" applyFont="1" applyBorder="1" applyAlignment="1">
      <alignment horizontal="right" vertical="center" wrapText="1"/>
    </xf>
    <xf numFmtId="0" fontId="10" fillId="0" borderId="12" xfId="3" applyFont="1" applyBorder="1" applyAlignment="1">
      <alignment horizontal="center" vertical="center"/>
    </xf>
    <xf numFmtId="0" fontId="8" fillId="0" borderId="5" xfId="36" applyFont="1" applyBorder="1" applyAlignment="1">
      <alignment horizontal="center" vertical="center" wrapText="1"/>
    </xf>
    <xf numFmtId="3" fontId="8" fillId="0" borderId="5" xfId="36" applyNumberFormat="1" applyFont="1" applyBorder="1" applyAlignment="1">
      <alignment horizontal="right" vertical="center" wrapText="1"/>
    </xf>
    <xf numFmtId="3" fontId="8" fillId="0" borderId="9" xfId="3" applyNumberFormat="1" applyFont="1" applyBorder="1" applyAlignment="1">
      <alignment horizontal="center" vertical="center" wrapText="1"/>
    </xf>
    <xf numFmtId="22" fontId="8" fillId="0" borderId="13" xfId="37" applyNumberFormat="1" applyFont="1" applyBorder="1" applyAlignment="1">
      <alignment horizontal="center" vertical="center" wrapText="1"/>
    </xf>
    <xf numFmtId="0" fontId="8" fillId="0" borderId="13" xfId="37" applyFont="1" applyBorder="1" applyAlignment="1">
      <alignment horizontal="center" vertical="center" wrapText="1"/>
    </xf>
    <xf numFmtId="3" fontId="8" fillId="0" borderId="13" xfId="37" applyNumberFormat="1" applyFont="1" applyBorder="1" applyAlignment="1">
      <alignment horizontal="right" vertical="center" wrapText="1"/>
    </xf>
    <xf numFmtId="3" fontId="8" fillId="3" borderId="13" xfId="37" applyNumberFormat="1" applyFont="1" applyFill="1" applyBorder="1" applyAlignment="1">
      <alignment horizontal="right" vertical="center" wrapText="1"/>
    </xf>
    <xf numFmtId="0" fontId="12" fillId="0" borderId="0" xfId="3" applyFont="1" applyAlignment="1">
      <alignment horizontal="center" vertical="center"/>
    </xf>
    <xf numFmtId="0" fontId="12" fillId="0" borderId="0" xfId="3" applyFont="1">
      <alignment vertical="center"/>
    </xf>
    <xf numFmtId="3" fontId="8" fillId="14" borderId="13" xfId="37" applyNumberFormat="1" applyFont="1" applyFill="1" applyBorder="1" applyAlignment="1">
      <alignment horizontal="right" vertical="center" wrapText="1"/>
    </xf>
    <xf numFmtId="177" fontId="12" fillId="0" borderId="0" xfId="4" applyNumberFormat="1" applyFont="1">
      <alignment vertical="center"/>
    </xf>
    <xf numFmtId="178" fontId="12" fillId="0" borderId="0" xfId="4" applyNumberFormat="1" applyFont="1">
      <alignment vertical="center"/>
    </xf>
    <xf numFmtId="178" fontId="12" fillId="3" borderId="0" xfId="4" applyNumberFormat="1" applyFont="1" applyFill="1">
      <alignment vertical="center"/>
    </xf>
    <xf numFmtId="38" fontId="12" fillId="0" borderId="0" xfId="4" applyNumberFormat="1" applyFont="1">
      <alignment vertical="center"/>
    </xf>
    <xf numFmtId="0" fontId="12" fillId="0" borderId="0" xfId="4" applyNumberFormat="1" applyFont="1">
      <alignment vertical="center"/>
    </xf>
    <xf numFmtId="0" fontId="12" fillId="14" borderId="0" xfId="3" applyFont="1" applyFill="1">
      <alignment vertical="center"/>
    </xf>
    <xf numFmtId="0" fontId="8" fillId="0" borderId="13" xfId="3" applyFont="1" applyBorder="1" applyAlignment="1">
      <alignment horizontal="center" vertical="center" wrapText="1"/>
    </xf>
    <xf numFmtId="22" fontId="8" fillId="0" borderId="13" xfId="38" applyNumberFormat="1" applyFont="1" applyBorder="1" applyAlignment="1">
      <alignment horizontal="center" vertical="center" wrapText="1"/>
    </xf>
    <xf numFmtId="3" fontId="8" fillId="0" borderId="13" xfId="38" applyNumberFormat="1" applyFont="1" applyBorder="1" applyAlignment="1">
      <alignment horizontal="right" vertical="center" wrapText="1"/>
    </xf>
    <xf numFmtId="0" fontId="8" fillId="0" borderId="13" xfId="38" applyFont="1" applyBorder="1" applyAlignment="1">
      <alignment horizontal="center" vertical="center" wrapText="1"/>
    </xf>
    <xf numFmtId="3" fontId="8" fillId="14" borderId="13" xfId="38" applyNumberFormat="1" applyFont="1" applyFill="1" applyBorder="1" applyAlignment="1">
      <alignment horizontal="right" vertical="center" wrapText="1"/>
    </xf>
    <xf numFmtId="3" fontId="8" fillId="0" borderId="0" xfId="38" applyNumberFormat="1" applyFont="1" applyAlignment="1">
      <alignment horizontal="right" vertical="center" wrapText="1"/>
    </xf>
    <xf numFmtId="3" fontId="8" fillId="14" borderId="0" xfId="38" applyNumberFormat="1" applyFont="1" applyFill="1" applyAlignment="1">
      <alignment horizontal="right" vertical="center" wrapText="1"/>
    </xf>
    <xf numFmtId="0" fontId="8" fillId="0" borderId="0" xfId="38" applyFont="1" applyAlignment="1">
      <alignment horizontal="center" vertical="center" wrapText="1"/>
    </xf>
    <xf numFmtId="22" fontId="8" fillId="0" borderId="0" xfId="38" applyNumberFormat="1" applyFont="1" applyAlignment="1">
      <alignment horizontal="center" vertical="center" wrapText="1"/>
    </xf>
    <xf numFmtId="22" fontId="8" fillId="0" borderId="13" xfId="3" applyNumberFormat="1" applyFont="1" applyBorder="1" applyAlignment="1">
      <alignment horizontal="center" vertical="center" wrapText="1"/>
    </xf>
    <xf numFmtId="3" fontId="8" fillId="0" borderId="13" xfId="3" applyNumberFormat="1" applyFont="1" applyBorder="1" applyAlignment="1">
      <alignment horizontal="right" vertical="center" wrapText="1"/>
    </xf>
    <xf numFmtId="3" fontId="8" fillId="14" borderId="13" xfId="3" applyNumberFormat="1" applyFont="1" applyFill="1" applyBorder="1" applyAlignment="1">
      <alignment horizontal="right" vertical="center" wrapText="1"/>
    </xf>
    <xf numFmtId="3" fontId="8" fillId="3" borderId="13" xfId="3" applyNumberFormat="1" applyFont="1" applyFill="1" applyBorder="1" applyAlignment="1">
      <alignment horizontal="right" vertical="center" wrapText="1"/>
    </xf>
    <xf numFmtId="0" fontId="12" fillId="14" borderId="0" xfId="4" applyNumberFormat="1" applyFont="1" applyFill="1">
      <alignment vertical="center"/>
    </xf>
    <xf numFmtId="0" fontId="13" fillId="9" borderId="0" xfId="4" applyNumberFormat="1" applyFont="1" applyFill="1">
      <alignment vertical="center"/>
    </xf>
    <xf numFmtId="22" fontId="12" fillId="0" borderId="0" xfId="3" applyNumberFormat="1" applyFont="1">
      <alignment vertical="center"/>
    </xf>
    <xf numFmtId="22" fontId="12" fillId="13" borderId="5" xfId="3" applyNumberFormat="1" applyFont="1" applyFill="1" applyBorder="1" applyAlignment="1">
      <alignment horizontal="center" vertical="center" wrapText="1"/>
    </xf>
    <xf numFmtId="0" fontId="12" fillId="13" borderId="5" xfId="3" applyFont="1" applyFill="1" applyBorder="1" applyAlignment="1"/>
    <xf numFmtId="0" fontId="14" fillId="0" borderId="0" xfId="5" applyFont="1" applyAlignment="1">
      <alignment horizontal="center" vertical="center"/>
    </xf>
    <xf numFmtId="179" fontId="14" fillId="0" borderId="0" xfId="5" applyNumberFormat="1" applyFont="1" applyAlignment="1">
      <alignment horizontal="right" vertical="center"/>
    </xf>
    <xf numFmtId="0" fontId="14" fillId="0" borderId="0" xfId="5" applyFont="1" applyAlignment="1">
      <alignment horizontal="left" vertical="center"/>
    </xf>
    <xf numFmtId="179" fontId="14" fillId="12" borderId="0" xfId="5" applyNumberFormat="1" applyFont="1" applyFill="1" applyAlignment="1">
      <alignment horizontal="right" vertical="center"/>
    </xf>
    <xf numFmtId="179" fontId="15" fillId="10" borderId="0" xfId="5" applyNumberFormat="1" applyFont="1" applyFill="1" applyAlignment="1">
      <alignment horizontal="right" vertical="center"/>
    </xf>
    <xf numFmtId="179" fontId="15" fillId="12" borderId="0" xfId="5" applyNumberFormat="1" applyFont="1" applyFill="1" applyAlignment="1">
      <alignment horizontal="right" vertical="center"/>
    </xf>
    <xf numFmtId="179" fontId="15" fillId="0" borderId="0" xfId="5" applyNumberFormat="1" applyFont="1" applyAlignment="1">
      <alignment horizontal="right" vertical="center"/>
    </xf>
    <xf numFmtId="179" fontId="14" fillId="10" borderId="0" xfId="5" applyNumberFormat="1" applyFont="1" applyFill="1" applyAlignment="1">
      <alignment horizontal="right" vertical="center"/>
    </xf>
    <xf numFmtId="0" fontId="8" fillId="0" borderId="0" xfId="3" applyFont="1" applyAlignment="1">
      <alignment horizontal="center" vertical="center" wrapText="1"/>
    </xf>
    <xf numFmtId="0" fontId="14" fillId="15" borderId="0" xfId="5" applyFont="1" applyFill="1" applyAlignment="1">
      <alignment horizontal="center" vertical="center"/>
    </xf>
    <xf numFmtId="179" fontId="14" fillId="3" borderId="0" xfId="5" applyNumberFormat="1" applyFont="1" applyFill="1" applyAlignment="1">
      <alignment horizontal="right" vertical="center"/>
    </xf>
    <xf numFmtId="179" fontId="14" fillId="15" borderId="0" xfId="5" applyNumberFormat="1" applyFont="1" applyFill="1" applyAlignment="1">
      <alignment horizontal="right" vertical="center"/>
    </xf>
    <xf numFmtId="0" fontId="8" fillId="15" borderId="0" xfId="3" applyFont="1" applyFill="1" applyAlignment="1">
      <alignment horizontal="center" vertical="center"/>
    </xf>
    <xf numFmtId="179" fontId="15" fillId="15" borderId="0" xfId="5" applyNumberFormat="1" applyFont="1" applyFill="1" applyAlignment="1">
      <alignment horizontal="right" vertical="center"/>
    </xf>
    <xf numFmtId="0" fontId="12" fillId="13" borderId="5" xfId="5" applyFont="1" applyFill="1" applyBorder="1" applyAlignment="1">
      <alignment horizontal="center" vertical="center"/>
    </xf>
    <xf numFmtId="0" fontId="12" fillId="0" borderId="5" xfId="5" applyFont="1" applyBorder="1" applyAlignment="1">
      <alignment horizontal="left" vertical="center"/>
    </xf>
    <xf numFmtId="179" fontId="12" fillId="0" borderId="5" xfId="5" applyNumberFormat="1" applyFont="1" applyBorder="1" applyAlignment="1">
      <alignment horizontal="right" vertical="center"/>
    </xf>
    <xf numFmtId="0" fontId="12" fillId="15" borderId="5" xfId="3" applyFont="1" applyFill="1" applyBorder="1" applyAlignment="1">
      <alignment horizontal="center" vertical="center"/>
    </xf>
    <xf numFmtId="41" fontId="12" fillId="0" borderId="5" xfId="4" applyFont="1" applyBorder="1">
      <alignment vertical="center"/>
    </xf>
    <xf numFmtId="0" fontId="12" fillId="0" borderId="5" xfId="39" applyFont="1" applyBorder="1" applyAlignment="1">
      <alignment horizontal="center" vertical="center" shrinkToFit="1"/>
    </xf>
    <xf numFmtId="0" fontId="10" fillId="0" borderId="0" xfId="3" applyFont="1" applyAlignment="1">
      <alignment horizontal="center" vertical="center"/>
    </xf>
    <xf numFmtId="41" fontId="10" fillId="16" borderId="0" xfId="4" applyFont="1" applyFill="1">
      <alignment vertical="center"/>
    </xf>
    <xf numFmtId="41" fontId="10" fillId="0" borderId="0" xfId="4" applyFont="1">
      <alignment vertical="center"/>
    </xf>
    <xf numFmtId="41" fontId="10" fillId="17" borderId="0" xfId="4" applyFont="1" applyFill="1">
      <alignment vertical="center"/>
    </xf>
    <xf numFmtId="0" fontId="16" fillId="0" borderId="0" xfId="3" applyFont="1" applyAlignment="1">
      <alignment horizontal="center" vertical="center"/>
    </xf>
    <xf numFmtId="41" fontId="17" fillId="3" borderId="0" xfId="4" applyFont="1" applyFill="1">
      <alignment vertical="center"/>
    </xf>
    <xf numFmtId="0" fontId="10" fillId="6" borderId="0" xfId="3" applyFont="1" applyFill="1" applyAlignment="1">
      <alignment horizontal="center" vertical="center"/>
    </xf>
    <xf numFmtId="41" fontId="10" fillId="6" borderId="0" xfId="4" applyFont="1" applyFill="1">
      <alignment vertical="center"/>
    </xf>
    <xf numFmtId="41" fontId="17" fillId="6" borderId="0" xfId="4" applyFont="1" applyFill="1">
      <alignment vertical="center"/>
    </xf>
    <xf numFmtId="0" fontId="8" fillId="6" borderId="0" xfId="3" applyFont="1" applyFill="1" applyAlignment="1">
      <alignment horizontal="center" vertical="center"/>
    </xf>
    <xf numFmtId="0" fontId="18" fillId="0" borderId="0" xfId="3" applyFont="1" applyAlignment="1">
      <alignment horizontal="center" vertical="center"/>
    </xf>
    <xf numFmtId="179" fontId="18" fillId="0" borderId="0" xfId="3" applyNumberFormat="1" applyFont="1" applyAlignment="1">
      <alignment horizontal="right" vertical="center"/>
    </xf>
    <xf numFmtId="0" fontId="18" fillId="0" borderId="0" xfId="3" applyFont="1" applyAlignment="1">
      <alignment horizontal="left" vertical="center"/>
    </xf>
    <xf numFmtId="179" fontId="18" fillId="16" borderId="0" xfId="3" applyNumberFormat="1" applyFont="1" applyFill="1" applyAlignment="1">
      <alignment horizontal="right" vertical="center"/>
    </xf>
    <xf numFmtId="0" fontId="14" fillId="16" borderId="0" xfId="3" applyFont="1" applyFill="1" applyAlignment="1">
      <alignment horizontal="center" vertical="center"/>
    </xf>
    <xf numFmtId="179" fontId="14" fillId="0" borderId="0" xfId="3" applyNumberFormat="1" applyFont="1" applyAlignment="1">
      <alignment horizontal="right" vertical="center"/>
    </xf>
    <xf numFmtId="0" fontId="14" fillId="0" borderId="0" xfId="3" applyFont="1" applyAlignment="1">
      <alignment horizontal="left" vertical="center"/>
    </xf>
    <xf numFmtId="179" fontId="14" fillId="9" borderId="0" xfId="3" applyNumberFormat="1" applyFont="1" applyFill="1" applyAlignment="1">
      <alignment horizontal="right" vertical="center"/>
    </xf>
    <xf numFmtId="0" fontId="6" fillId="16" borderId="0" xfId="3" applyFill="1" applyAlignment="1">
      <alignment horizontal="center" vertical="center"/>
    </xf>
    <xf numFmtId="0" fontId="14" fillId="14" borderId="0" xfId="3" applyFont="1" applyFill="1" applyAlignment="1">
      <alignment horizontal="center" vertical="center"/>
    </xf>
    <xf numFmtId="0" fontId="14" fillId="12" borderId="0" xfId="3" applyFont="1" applyFill="1" applyAlignment="1">
      <alignment horizontal="center" vertical="center"/>
    </xf>
    <xf numFmtId="179" fontId="15" fillId="0" borderId="0" xfId="3" applyNumberFormat="1" applyFont="1" applyAlignment="1">
      <alignment horizontal="right" vertical="center"/>
    </xf>
    <xf numFmtId="179" fontId="14" fillId="18" borderId="0" xfId="3" applyNumberFormat="1" applyFont="1" applyFill="1" applyAlignment="1">
      <alignment horizontal="right" vertical="center"/>
    </xf>
    <xf numFmtId="0" fontId="14" fillId="18" borderId="0" xfId="3" applyFont="1" applyFill="1" applyAlignment="1">
      <alignment horizontal="left" vertical="center"/>
    </xf>
    <xf numFmtId="179" fontId="14" fillId="6" borderId="0" xfId="3" applyNumberFormat="1" applyFont="1" applyFill="1" applyAlignment="1">
      <alignment horizontal="right" vertical="center"/>
    </xf>
    <xf numFmtId="0" fontId="14" fillId="6" borderId="0" xfId="3" applyFont="1" applyFill="1" applyAlignment="1">
      <alignment horizontal="left" vertical="center"/>
    </xf>
    <xf numFmtId="179" fontId="14" fillId="4" borderId="0" xfId="3" applyNumberFormat="1" applyFont="1" applyFill="1" applyAlignment="1">
      <alignment horizontal="right" vertical="center"/>
    </xf>
    <xf numFmtId="0" fontId="14" fillId="4" borderId="0" xfId="3" applyFont="1" applyFill="1" applyAlignment="1">
      <alignment horizontal="left" vertical="center"/>
    </xf>
    <xf numFmtId="179" fontId="15" fillId="6" borderId="0" xfId="3" applyNumberFormat="1" applyFont="1" applyFill="1" applyAlignment="1">
      <alignment horizontal="right" vertical="center"/>
    </xf>
    <xf numFmtId="0" fontId="8" fillId="0" borderId="0" xfId="3" quotePrefix="1" applyFont="1" applyAlignment="1">
      <alignment horizontal="center" vertical="center"/>
    </xf>
    <xf numFmtId="0" fontId="14" fillId="3" borderId="0" xfId="3" applyFont="1" applyFill="1" applyAlignment="1">
      <alignment horizontal="center" vertical="center"/>
    </xf>
    <xf numFmtId="0" fontId="6" fillId="3" borderId="0" xfId="3" applyFill="1" applyAlignment="1">
      <alignment horizontal="center" vertical="center"/>
    </xf>
    <xf numFmtId="41" fontId="6" fillId="0" borderId="0" xfId="3" applyNumberFormat="1" applyAlignment="1">
      <alignment horizontal="center" vertical="center"/>
    </xf>
    <xf numFmtId="41" fontId="6" fillId="0" borderId="0" xfId="3" applyNumberFormat="1">
      <alignment vertical="center"/>
    </xf>
    <xf numFmtId="0" fontId="5" fillId="0" borderId="0" xfId="0" applyFont="1">
      <alignment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1" fontId="3" fillId="0" borderId="19" xfId="1" applyFont="1" applyFill="1" applyBorder="1" applyAlignment="1">
      <alignment horizontal="center" vertical="center"/>
    </xf>
    <xf numFmtId="41" fontId="3" fillId="0" borderId="0" xfId="1" applyFont="1" applyFill="1">
      <alignment vertical="center"/>
    </xf>
    <xf numFmtId="0" fontId="5" fillId="0" borderId="20" xfId="0" applyFont="1" applyBorder="1" applyAlignment="1">
      <alignment horizontal="left" vertical="center"/>
    </xf>
    <xf numFmtId="41" fontId="5" fillId="0" borderId="18" xfId="1" applyFont="1" applyFill="1" applyBorder="1" applyAlignment="1">
      <alignment horizontal="center" vertical="center"/>
    </xf>
    <xf numFmtId="41" fontId="3" fillId="0" borderId="9" xfId="1" applyFont="1" applyFill="1" applyBorder="1" applyAlignment="1">
      <alignment horizontal="center" vertical="center"/>
    </xf>
    <xf numFmtId="41" fontId="3" fillId="0" borderId="21" xfId="1" applyFont="1" applyFill="1" applyBorder="1" applyAlignment="1">
      <alignment horizontal="center" vertical="center"/>
    </xf>
    <xf numFmtId="41" fontId="5" fillId="0" borderId="22" xfId="1" applyFont="1" applyBorder="1">
      <alignment vertical="center"/>
    </xf>
    <xf numFmtId="41" fontId="3" fillId="0" borderId="9" xfId="1" applyFont="1" applyBorder="1">
      <alignment vertical="center"/>
    </xf>
    <xf numFmtId="41" fontId="3" fillId="0" borderId="9" xfId="1" applyFont="1" applyFill="1" applyBorder="1">
      <alignment vertical="center"/>
    </xf>
    <xf numFmtId="41" fontId="3" fillId="0" borderId="21" xfId="1" applyFont="1" applyFill="1" applyBorder="1">
      <alignment vertical="center"/>
    </xf>
    <xf numFmtId="0" fontId="21" fillId="0" borderId="20" xfId="0" applyFont="1" applyBorder="1" applyAlignment="1">
      <alignment horizontal="left" vertical="center"/>
    </xf>
    <xf numFmtId="41" fontId="21" fillId="0" borderId="22" xfId="1" applyFont="1" applyBorder="1">
      <alignment vertical="center"/>
    </xf>
    <xf numFmtId="41" fontId="21" fillId="0" borderId="9" xfId="1" applyFont="1" applyBorder="1">
      <alignment vertical="center"/>
    </xf>
    <xf numFmtId="41" fontId="21" fillId="0" borderId="9" xfId="1" applyFont="1" applyFill="1" applyBorder="1">
      <alignment vertical="center"/>
    </xf>
    <xf numFmtId="41" fontId="21" fillId="0" borderId="21" xfId="1" applyFont="1" applyFill="1" applyBorder="1">
      <alignment vertical="center"/>
    </xf>
    <xf numFmtId="41" fontId="5" fillId="0" borderId="0" xfId="0" applyNumberFormat="1" applyFont="1">
      <alignment vertical="center"/>
    </xf>
    <xf numFmtId="43" fontId="5" fillId="0" borderId="0" xfId="0" applyNumberFormat="1" applyFont="1">
      <alignment vertical="center"/>
    </xf>
    <xf numFmtId="0" fontId="5" fillId="0" borderId="20" xfId="0" applyFont="1" applyBorder="1">
      <alignment vertical="center"/>
    </xf>
    <xf numFmtId="41" fontId="5" fillId="19" borderId="22" xfId="1" applyFont="1" applyFill="1" applyBorder="1" applyAlignment="1">
      <alignment horizontal="center" vertical="center"/>
    </xf>
    <xf numFmtId="41" fontId="3" fillId="19" borderId="9" xfId="1" applyFont="1" applyFill="1" applyBorder="1">
      <alignment vertical="center"/>
    </xf>
    <xf numFmtId="41" fontId="3" fillId="19" borderId="21" xfId="1" applyFont="1" applyFill="1" applyBorder="1">
      <alignment vertical="center"/>
    </xf>
    <xf numFmtId="41" fontId="3" fillId="0" borderId="0" xfId="1" applyFont="1" applyFill="1" applyBorder="1">
      <alignment vertical="center"/>
    </xf>
    <xf numFmtId="0" fontId="0" fillId="2" borderId="27" xfId="0" applyFill="1" applyBorder="1">
      <alignment vertical="center"/>
    </xf>
    <xf numFmtId="41" fontId="3" fillId="0" borderId="22" xfId="1" applyFont="1" applyFill="1" applyBorder="1">
      <alignment vertical="center"/>
    </xf>
    <xf numFmtId="41" fontId="21" fillId="0" borderId="28" xfId="1" applyFont="1" applyFill="1" applyBorder="1">
      <alignment vertical="center"/>
    </xf>
    <xf numFmtId="0" fontId="0" fillId="0" borderId="27" xfId="0" applyBorder="1">
      <alignment vertical="center"/>
    </xf>
    <xf numFmtId="0" fontId="3" fillId="2" borderId="20" xfId="0" applyFont="1" applyFill="1" applyBorder="1">
      <alignment vertical="center"/>
    </xf>
    <xf numFmtId="41" fontId="3" fillId="0" borderId="22" xfId="1" applyFont="1" applyBorder="1">
      <alignment vertical="center"/>
    </xf>
    <xf numFmtId="41" fontId="3" fillId="0" borderId="21" xfId="1" applyFont="1" applyBorder="1">
      <alignment vertical="center"/>
    </xf>
    <xf numFmtId="0" fontId="3" fillId="2" borderId="29" xfId="0" applyFont="1" applyFill="1" applyBorder="1">
      <alignment vertical="center"/>
    </xf>
    <xf numFmtId="41" fontId="21" fillId="21" borderId="22" xfId="1" applyFont="1" applyFill="1" applyBorder="1">
      <alignment vertical="center"/>
    </xf>
    <xf numFmtId="41" fontId="21" fillId="21" borderId="9" xfId="1" applyFont="1" applyFill="1" applyBorder="1">
      <alignment vertical="center"/>
    </xf>
    <xf numFmtId="41" fontId="21" fillId="21" borderId="21" xfId="1" applyFont="1" applyFill="1" applyBorder="1">
      <alignment vertical="center"/>
    </xf>
    <xf numFmtId="0" fontId="3" fillId="2" borderId="17" xfId="0" applyFont="1" applyFill="1" applyBorder="1">
      <alignment vertical="center"/>
    </xf>
    <xf numFmtId="41" fontId="3" fillId="22" borderId="9" xfId="1" applyFont="1" applyFill="1" applyBorder="1">
      <alignment vertical="center"/>
    </xf>
    <xf numFmtId="41" fontId="3" fillId="22" borderId="21" xfId="1" applyFont="1" applyFill="1" applyBorder="1">
      <alignment vertical="center"/>
    </xf>
    <xf numFmtId="0" fontId="3" fillId="0" borderId="20" xfId="0" applyFont="1" applyBorder="1">
      <alignment vertical="center"/>
    </xf>
    <xf numFmtId="0" fontId="3" fillId="2" borderId="27" xfId="0" applyFont="1" applyFill="1" applyBorder="1">
      <alignment vertical="center"/>
    </xf>
    <xf numFmtId="0" fontId="3" fillId="0" borderId="27" xfId="0" applyFont="1" applyBorder="1">
      <alignment vertical="center"/>
    </xf>
    <xf numFmtId="41" fontId="21" fillId="20" borderId="31" xfId="1" applyFont="1" applyFill="1" applyBorder="1">
      <alignment vertical="center"/>
    </xf>
    <xf numFmtId="41" fontId="21" fillId="20" borderId="32" xfId="1" applyFont="1" applyFill="1" applyBorder="1">
      <alignment vertical="center"/>
    </xf>
    <xf numFmtId="41" fontId="21" fillId="20" borderId="33" xfId="1" applyFont="1" applyFill="1" applyBorder="1">
      <alignment vertical="center"/>
    </xf>
    <xf numFmtId="41" fontId="3" fillId="0" borderId="28" xfId="1" applyFont="1" applyFill="1" applyBorder="1">
      <alignment vertical="center"/>
    </xf>
    <xf numFmtId="41" fontId="21" fillId="2" borderId="5" xfId="1" applyFont="1" applyFill="1" applyBorder="1">
      <alignment vertical="center"/>
    </xf>
    <xf numFmtId="0" fontId="22" fillId="0" borderId="0" xfId="0" applyFont="1">
      <alignment vertical="center"/>
    </xf>
    <xf numFmtId="41" fontId="22" fillId="0" borderId="0" xfId="1" applyFont="1">
      <alignment vertical="center"/>
    </xf>
    <xf numFmtId="0" fontId="23" fillId="0" borderId="0" xfId="0" applyFont="1">
      <alignment vertical="center"/>
    </xf>
    <xf numFmtId="41" fontId="23" fillId="0" borderId="0" xfId="1" applyFont="1">
      <alignment vertical="center"/>
    </xf>
    <xf numFmtId="41" fontId="23" fillId="0" borderId="0" xfId="1" applyFont="1" applyFill="1" applyBorder="1">
      <alignment vertical="center"/>
    </xf>
    <xf numFmtId="9" fontId="23" fillId="0" borderId="0" xfId="0" applyNumberFormat="1" applyFont="1">
      <alignment vertical="center"/>
    </xf>
    <xf numFmtId="41" fontId="24" fillId="0" borderId="0" xfId="1" applyFont="1">
      <alignment vertical="center"/>
    </xf>
    <xf numFmtId="0" fontId="24" fillId="0" borderId="0" xfId="0" applyFont="1">
      <alignment vertical="center"/>
    </xf>
    <xf numFmtId="0" fontId="3" fillId="0" borderId="0" xfId="0" applyFont="1">
      <alignment vertical="center"/>
    </xf>
    <xf numFmtId="41" fontId="3" fillId="0" borderId="0" xfId="0" applyNumberFormat="1" applyFont="1">
      <alignment vertical="center"/>
    </xf>
    <xf numFmtId="41" fontId="28" fillId="2" borderId="5" xfId="41" applyNumberFormat="1" applyFont="1" applyFill="1" applyBorder="1">
      <alignment vertical="center"/>
    </xf>
    <xf numFmtId="41" fontId="28" fillId="2" borderId="5" xfId="41" applyNumberFormat="1" applyFont="1" applyFill="1" applyBorder="1" applyAlignment="1">
      <alignment horizontal="center" vertical="center"/>
    </xf>
    <xf numFmtId="9" fontId="3" fillId="0" borderId="0" xfId="2" applyFont="1">
      <alignment vertical="center"/>
    </xf>
    <xf numFmtId="0" fontId="3" fillId="3" borderId="0" xfId="0" applyFont="1" applyFill="1">
      <alignment vertical="center"/>
    </xf>
    <xf numFmtId="41" fontId="3" fillId="3" borderId="0" xfId="1" applyFont="1" applyFill="1">
      <alignment vertical="center"/>
    </xf>
    <xf numFmtId="41" fontId="3" fillId="3" borderId="0" xfId="0" applyNumberFormat="1" applyFont="1" applyFill="1">
      <alignment vertical="center"/>
    </xf>
    <xf numFmtId="22" fontId="8" fillId="0" borderId="5" xfId="3" applyNumberFormat="1" applyFont="1" applyBorder="1" applyAlignment="1">
      <alignment horizontal="center" vertical="center" wrapText="1"/>
    </xf>
    <xf numFmtId="22" fontId="10" fillId="4" borderId="5" xfId="3" applyNumberFormat="1" applyFont="1" applyFill="1" applyBorder="1" applyAlignment="1">
      <alignment horizontal="center" vertical="center"/>
    </xf>
    <xf numFmtId="22" fontId="8" fillId="6" borderId="5" xfId="3" applyNumberFormat="1" applyFont="1" applyFill="1" applyBorder="1" applyAlignment="1">
      <alignment horizontal="center" vertical="center" wrapText="1"/>
    </xf>
    <xf numFmtId="22" fontId="10" fillId="7" borderId="5" xfId="5" applyNumberFormat="1" applyFont="1" applyFill="1" applyBorder="1" applyAlignment="1">
      <alignment horizontal="center" vertical="center"/>
    </xf>
    <xf numFmtId="22" fontId="10" fillId="7" borderId="5" xfId="6" applyNumberFormat="1" applyFont="1" applyFill="1" applyBorder="1" applyAlignment="1">
      <alignment horizontal="center" vertical="center"/>
    </xf>
    <xf numFmtId="22" fontId="10" fillId="8" borderId="5" xfId="3" applyNumberFormat="1" applyFont="1" applyFill="1" applyBorder="1">
      <alignment vertical="center"/>
    </xf>
    <xf numFmtId="22" fontId="10" fillId="4" borderId="5" xfId="3" applyNumberFormat="1" applyFont="1" applyFill="1" applyBorder="1">
      <alignment vertical="center"/>
    </xf>
    <xf numFmtId="22" fontId="10" fillId="8" borderId="5" xfId="3" applyNumberFormat="1" applyFont="1" applyFill="1" applyBorder="1" applyAlignment="1">
      <alignment horizontal="center" vertical="center"/>
    </xf>
    <xf numFmtId="22" fontId="10" fillId="7" borderId="5" xfId="7" applyNumberFormat="1" applyFont="1" applyFill="1" applyBorder="1" applyAlignment="1">
      <alignment horizontal="center" vertical="center"/>
    </xf>
    <xf numFmtId="22" fontId="10" fillId="7" borderId="5" xfId="8" applyNumberFormat="1" applyFont="1" applyFill="1" applyBorder="1" applyAlignment="1">
      <alignment horizontal="center" vertical="center"/>
    </xf>
    <xf numFmtId="22" fontId="8" fillId="5" borderId="5" xfId="3" applyNumberFormat="1" applyFont="1" applyFill="1" applyBorder="1" applyAlignment="1">
      <alignment horizontal="center" vertical="center" wrapText="1"/>
    </xf>
    <xf numFmtId="22" fontId="10" fillId="11" borderId="5" xfId="3" applyNumberFormat="1" applyFont="1" applyFill="1" applyBorder="1">
      <alignment vertical="center"/>
    </xf>
    <xf numFmtId="22" fontId="8" fillId="12" borderId="5" xfId="3" applyNumberFormat="1" applyFont="1" applyFill="1" applyBorder="1" applyAlignment="1">
      <alignment horizontal="center" vertical="center" wrapText="1"/>
    </xf>
    <xf numFmtId="22" fontId="8" fillId="12" borderId="5" xfId="29" applyNumberFormat="1" applyFont="1" applyFill="1" applyBorder="1" applyAlignment="1">
      <alignment horizontal="center" vertical="center" wrapText="1"/>
    </xf>
    <xf numFmtId="22" fontId="8" fillId="12" borderId="5" xfId="30" applyNumberFormat="1" applyFont="1" applyFill="1" applyBorder="1" applyAlignment="1">
      <alignment horizontal="center" vertical="center" wrapText="1"/>
    </xf>
    <xf numFmtId="22" fontId="8" fillId="12" borderId="5" xfId="31" applyNumberFormat="1" applyFont="1" applyFill="1" applyBorder="1" applyAlignment="1">
      <alignment horizontal="center" vertical="center" wrapText="1"/>
    </xf>
    <xf numFmtId="22" fontId="8" fillId="12" borderId="5" xfId="32" applyNumberFormat="1" applyFont="1" applyFill="1" applyBorder="1" applyAlignment="1">
      <alignment horizontal="center" vertical="center" wrapText="1"/>
    </xf>
    <xf numFmtId="22" fontId="8" fillId="12" borderId="5" xfId="33" applyNumberFormat="1" applyFont="1" applyFill="1" applyBorder="1" applyAlignment="1">
      <alignment horizontal="center" vertical="center" wrapText="1"/>
    </xf>
    <xf numFmtId="22" fontId="8" fillId="12" borderId="5" xfId="34" applyNumberFormat="1" applyFont="1" applyFill="1" applyBorder="1" applyAlignment="1">
      <alignment horizontal="center" vertical="center" wrapText="1"/>
    </xf>
    <xf numFmtId="22" fontId="8" fillId="12" borderId="5" xfId="35" applyNumberFormat="1" applyFont="1" applyFill="1" applyBorder="1" applyAlignment="1">
      <alignment horizontal="center" vertical="center" wrapText="1"/>
    </xf>
    <xf numFmtId="22" fontId="8" fillId="0" borderId="5" xfId="35" applyNumberFormat="1" applyFont="1" applyBorder="1" applyAlignment="1">
      <alignment horizontal="center" vertical="center" wrapText="1"/>
    </xf>
    <xf numFmtId="22" fontId="10" fillId="10" borderId="5" xfId="3" applyNumberFormat="1" applyFont="1" applyFill="1" applyBorder="1" applyAlignment="1">
      <alignment horizontal="left"/>
    </xf>
    <xf numFmtId="22" fontId="8" fillId="13" borderId="5" xfId="3" applyNumberFormat="1" applyFont="1" applyFill="1" applyBorder="1" applyAlignment="1">
      <alignment horizontal="center" vertical="center" wrapText="1"/>
    </xf>
    <xf numFmtId="22" fontId="8" fillId="13" borderId="10" xfId="3" applyNumberFormat="1" applyFont="1" applyFill="1" applyBorder="1" applyAlignment="1">
      <alignment horizontal="center" vertical="center" wrapText="1"/>
    </xf>
    <xf numFmtId="22" fontId="8" fillId="0" borderId="11" xfId="3" applyNumberFormat="1" applyFont="1" applyBorder="1" applyAlignment="1">
      <alignment horizontal="center" vertical="center" wrapText="1"/>
    </xf>
    <xf numFmtId="22" fontId="8" fillId="0" borderId="12" xfId="36" applyNumberFormat="1" applyFont="1" applyBorder="1" applyAlignment="1">
      <alignment horizontal="center" vertical="center" wrapText="1"/>
    </xf>
    <xf numFmtId="22" fontId="8" fillId="0" borderId="5" xfId="36" applyNumberFormat="1" applyFont="1" applyBorder="1" applyAlignment="1">
      <alignment horizontal="center" vertical="center" wrapText="1"/>
    </xf>
    <xf numFmtId="0" fontId="29" fillId="0" borderId="0" xfId="0" applyFont="1">
      <alignment vertical="center"/>
    </xf>
    <xf numFmtId="0" fontId="21" fillId="2" borderId="1" xfId="0" applyFont="1" applyFill="1" applyBorder="1" applyAlignment="1">
      <alignment horizontal="center" vertical="center"/>
    </xf>
    <xf numFmtId="41" fontId="3" fillId="0" borderId="12" xfId="1" applyFont="1" applyFill="1" applyBorder="1">
      <alignment vertical="center"/>
    </xf>
    <xf numFmtId="41" fontId="3" fillId="2" borderId="34" xfId="1" applyFont="1" applyFill="1" applyBorder="1" applyAlignment="1">
      <alignment horizontal="center" vertical="center"/>
    </xf>
    <xf numFmtId="41" fontId="3" fillId="2" borderId="35" xfId="1" applyFont="1" applyFill="1" applyBorder="1" applyAlignment="1">
      <alignment horizontal="center" vertical="center"/>
    </xf>
    <xf numFmtId="41" fontId="3" fillId="2" borderId="36" xfId="1" applyFont="1" applyFill="1" applyBorder="1" applyAlignment="1">
      <alignment horizontal="center" vertical="center"/>
    </xf>
    <xf numFmtId="41" fontId="3" fillId="2" borderId="12" xfId="1" applyFont="1" applyFill="1" applyBorder="1">
      <alignment vertical="center"/>
    </xf>
    <xf numFmtId="0" fontId="29" fillId="27" borderId="5" xfId="0" applyFont="1" applyFill="1" applyBorder="1" applyAlignment="1">
      <alignment horizontal="center" vertical="center"/>
    </xf>
    <xf numFmtId="41" fontId="30" fillId="23" borderId="2" xfId="1" applyFont="1" applyFill="1" applyBorder="1" applyAlignment="1">
      <alignment horizontal="center" vertical="center"/>
    </xf>
    <xf numFmtId="22" fontId="31" fillId="2" borderId="2" xfId="1" applyNumberFormat="1" applyFont="1" applyFill="1" applyBorder="1" applyAlignment="1">
      <alignment horizontal="center" vertical="center"/>
    </xf>
    <xf numFmtId="41" fontId="3" fillId="23" borderId="4" xfId="1" applyFont="1" applyFill="1" applyBorder="1">
      <alignment vertical="center"/>
    </xf>
    <xf numFmtId="41" fontId="3" fillId="24" borderId="5" xfId="1" applyFont="1" applyFill="1" applyBorder="1">
      <alignment vertical="center"/>
    </xf>
    <xf numFmtId="21" fontId="3" fillId="25" borderId="5" xfId="1" applyNumberFormat="1" applyFont="1" applyFill="1" applyBorder="1">
      <alignment vertical="center"/>
    </xf>
    <xf numFmtId="41" fontId="3" fillId="26" borderId="19" xfId="1" applyFont="1" applyFill="1" applyBorder="1" applyAlignment="1">
      <alignment horizontal="center" vertical="center"/>
    </xf>
    <xf numFmtId="41" fontId="3" fillId="26" borderId="9" xfId="1" applyFont="1" applyFill="1" applyBorder="1">
      <alignment vertical="center"/>
    </xf>
    <xf numFmtId="0" fontId="29" fillId="28" borderId="0" xfId="0" applyFont="1" applyFill="1">
      <alignment vertical="center"/>
    </xf>
    <xf numFmtId="0" fontId="33" fillId="0" borderId="0" xfId="0" applyFont="1">
      <alignment vertical="center"/>
    </xf>
    <xf numFmtId="0" fontId="21" fillId="20" borderId="6" xfId="0" applyFont="1" applyFill="1" applyBorder="1" applyAlignment="1">
      <alignment horizontal="center" vertical="center"/>
    </xf>
    <xf numFmtId="0" fontId="21" fillId="20" borderId="30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0" fillId="19" borderId="24" xfId="41" applyFill="1" applyBorder="1" applyAlignment="1">
      <alignment horizontal="center" vertical="center"/>
    </xf>
    <xf numFmtId="0" fontId="20" fillId="19" borderId="25" xfId="4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5" fillId="21" borderId="24" xfId="0" applyFont="1" applyFill="1" applyBorder="1" applyAlignment="1">
      <alignment horizontal="center" vertical="center"/>
    </xf>
    <xf numFmtId="0" fontId="3" fillId="21" borderId="25" xfId="0" applyFont="1" applyFill="1" applyBorder="1" applyAlignment="1">
      <alignment horizontal="center" vertical="center"/>
    </xf>
    <xf numFmtId="0" fontId="29" fillId="26" borderId="0" xfId="0" applyFont="1" applyFill="1">
      <alignment vertical="center"/>
    </xf>
    <xf numFmtId="21" fontId="32" fillId="26" borderId="0" xfId="0" applyNumberFormat="1" applyFont="1" applyFill="1">
      <alignment vertical="center"/>
    </xf>
    <xf numFmtId="0" fontId="4" fillId="26" borderId="0" xfId="0" applyFont="1" applyFill="1">
      <alignment vertical="center"/>
    </xf>
  </cellXfs>
  <cellStyles count="42">
    <cellStyle name="백분율" xfId="2" builtinId="5"/>
    <cellStyle name="쉼표 [0]" xfId="1" builtinId="6"/>
    <cellStyle name="쉼표 [0] 2" xfId="4" xr:uid="{AF7E39E5-D246-452F-A830-1EF545B418E3}"/>
    <cellStyle name="표준" xfId="0" builtinId="0"/>
    <cellStyle name="표준 11" xfId="39" xr:uid="{FE81ACC7-D5DD-4B0F-957B-E1BC26489AC8}"/>
    <cellStyle name="표준 14" xfId="40" xr:uid="{0C70A569-AAE1-4D89-AE63-F5B038AE3C59}"/>
    <cellStyle name="표준 2" xfId="3" xr:uid="{7056682F-8871-4FAC-B7A1-D456D876BFC7}"/>
    <cellStyle name="표준 283" xfId="5" xr:uid="{415BA7B1-123C-4A0F-9C0D-138A73AB8CC2}"/>
    <cellStyle name="표준 286" xfId="6" xr:uid="{3E236ABF-2C54-455E-A2D8-5DC3116CCD68}"/>
    <cellStyle name="표준 294" xfId="7" xr:uid="{39EB10AD-948D-43C4-ABB2-10F7DD54BB83}"/>
    <cellStyle name="표준 296" xfId="9" xr:uid="{8DB35FB3-0BF0-4947-84A0-2493AB3376B6}"/>
    <cellStyle name="표준 297" xfId="10" xr:uid="{BD78B1B3-A550-40C0-AB82-D73C8C1C5DBC}"/>
    <cellStyle name="표준 298" xfId="11" xr:uid="{1C61656B-948A-407F-8D02-67103E05CF21}"/>
    <cellStyle name="표준 300" xfId="12" xr:uid="{8F8CAB53-011D-4BED-9F43-C5884445EC6B}"/>
    <cellStyle name="표준 301" xfId="13" xr:uid="{7B8B3882-46FB-408C-8B5E-7D8EF6F0338F}"/>
    <cellStyle name="표준 304" xfId="14" xr:uid="{9946EF97-2C7F-4557-86CA-29D763522715}"/>
    <cellStyle name="표준 305" xfId="15" xr:uid="{D5D968D0-B193-4850-919B-3EC27CEF160C}"/>
    <cellStyle name="표준 307" xfId="8" xr:uid="{996E5223-E49E-416D-A7E7-6611CEB1C0AD}"/>
    <cellStyle name="표준 312" xfId="16" xr:uid="{071CA2AA-C9B0-4B7D-95DE-1783FB3680F5}"/>
    <cellStyle name="표준 313" xfId="17" xr:uid="{060AA24C-8F70-4CBF-9C79-EC31AD59CDCC}"/>
    <cellStyle name="표준 315" xfId="18" xr:uid="{36C8A3CC-DCC6-4150-9336-D4A3E8C124B9}"/>
    <cellStyle name="표준 316" xfId="19" xr:uid="{07F39A36-BAE9-489D-B3B9-026B2BAA8C5C}"/>
    <cellStyle name="표준 318" xfId="20" xr:uid="{1F9CF387-8988-4221-99E3-C3CAD648EBDB}"/>
    <cellStyle name="표준 319" xfId="21" xr:uid="{43B5DC01-33C3-4548-8052-251CCD32AC7E}"/>
    <cellStyle name="표준 325" xfId="22" xr:uid="{51CD5002-0A32-4163-A070-1FBFE1287C94}"/>
    <cellStyle name="표준 328" xfId="23" xr:uid="{ECA33F5E-6550-4E47-A0A1-64F11648B98D}"/>
    <cellStyle name="표준 331" xfId="24" xr:uid="{73D306E5-CD68-422E-AC76-013DC90923D8}"/>
    <cellStyle name="표준 334" xfId="25" xr:uid="{17E6F997-5F82-4B75-890C-F27B2F4F4860}"/>
    <cellStyle name="표준 337" xfId="26" xr:uid="{86C39373-82F2-4E41-AC77-C67AF427137A}"/>
    <cellStyle name="표준 338" xfId="27" xr:uid="{51B0A9A8-A655-483D-8673-4A0ED4512C61}"/>
    <cellStyle name="표준 343" xfId="28" xr:uid="{612AA8E6-FE85-4F8E-9054-98BDE90C8911}"/>
    <cellStyle name="표준 345" xfId="29" xr:uid="{908F48F7-D820-428C-AA1F-885DEA9D835F}"/>
    <cellStyle name="표준 346" xfId="30" xr:uid="{E13A903F-3C76-4983-8922-549A18EA5996}"/>
    <cellStyle name="표준 347" xfId="31" xr:uid="{6B493CBD-C7DA-44AA-8857-7756E16F7799}"/>
    <cellStyle name="표준 348" xfId="32" xr:uid="{CFB48449-70CD-4C29-9ED6-659139BE0B61}"/>
    <cellStyle name="표준 349" xfId="33" xr:uid="{F73B220F-CE56-49FA-AB5F-285C353A2799}"/>
    <cellStyle name="표준 350" xfId="34" xr:uid="{EAD8F13D-CEA8-4AFF-B492-B72482B85A93}"/>
    <cellStyle name="표준 351" xfId="35" xr:uid="{B41D3335-A85E-4EE8-9DE8-CFBCCCD44B30}"/>
    <cellStyle name="표준 352" xfId="36" xr:uid="{ABE1B1B6-8997-49E3-A7EB-7DA830C166B2}"/>
    <cellStyle name="표준 353" xfId="37" xr:uid="{34795364-1B64-4599-9167-E12DE37EB57A}"/>
    <cellStyle name="표준 354" xfId="38" xr:uid="{B0CBD443-FF69-452D-AE47-40B417E35BF4}"/>
    <cellStyle name="하이퍼링크" xfId="4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57150</xdr:colOff>
          <xdr:row>3</xdr:row>
          <xdr:rowOff>100013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데이터전송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57150</xdr:colOff>
          <xdr:row>6</xdr:row>
          <xdr:rowOff>71438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914402</xdr:colOff>
          <xdr:row>2</xdr:row>
          <xdr:rowOff>100012</xdr:rowOff>
        </xdr:from>
        <xdr:to>
          <xdr:col>2</xdr:col>
          <xdr:colOff>242889</xdr:colOff>
          <xdr:row>4</xdr:row>
          <xdr:rowOff>52388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전체년도 전송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185738</xdr:colOff>
          <xdr:row>12</xdr:row>
          <xdr:rowOff>100013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디버깅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2</xdr:col>
          <xdr:colOff>185738</xdr:colOff>
          <xdr:row>13</xdr:row>
          <xdr:rowOff>100013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구조 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2</xdr:col>
          <xdr:colOff>185738</xdr:colOff>
          <xdr:row>14</xdr:row>
          <xdr:rowOff>100013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전체년도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185738</xdr:colOff>
          <xdr:row>15</xdr:row>
          <xdr:rowOff>100013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 테스트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mymy4~/Evernote/Databases/Attachments/cash%20flow%20&#49464;&#48512;&#45236;&#50669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D3BF3-9452-4F20-AE60-518708A2D3D5}">
  <sheetPr codeName="Sheet10"/>
  <dimension ref="B2:B11"/>
  <sheetViews>
    <sheetView tabSelected="1" workbookViewId="0">
      <selection activeCell="E12" sqref="E12"/>
    </sheetView>
  </sheetViews>
  <sheetFormatPr defaultRowHeight="16.899999999999999" x14ac:dyDescent="0.6"/>
  <cols>
    <col min="1" max="1" width="12.5625" customWidth="1"/>
    <col min="2" max="2" width="16.25" bestFit="1" customWidth="1"/>
  </cols>
  <sheetData>
    <row r="2" spans="2:2" x14ac:dyDescent="0.6">
      <c r="B2" s="315" t="s">
        <v>1131</v>
      </c>
    </row>
    <row r="4" spans="2:2" x14ac:dyDescent="0.6">
      <c r="B4" s="327"/>
    </row>
    <row r="5" spans="2:2" x14ac:dyDescent="0.6">
      <c r="B5" s="328"/>
    </row>
    <row r="6" spans="2:2" x14ac:dyDescent="0.6">
      <c r="B6" s="329"/>
    </row>
    <row r="7" spans="2:2" x14ac:dyDescent="0.6">
      <c r="B7" s="329"/>
    </row>
    <row r="9" spans="2:2" x14ac:dyDescent="0.6">
      <c r="B9" s="316"/>
    </row>
    <row r="10" spans="2:2" x14ac:dyDescent="0.6">
      <c r="B10" s="316"/>
    </row>
    <row r="11" spans="2:2" x14ac:dyDescent="0.6">
      <c r="B11" s="316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데이터전송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57150</xdr:colOff>
                    <xdr:row>3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전체월_승인상태확인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57150</xdr:colOff>
                    <xdr:row>6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전체년도_데이터전송">
                <anchor moveWithCells="1" sizeWithCells="1">
                  <from>
                    <xdr:col>0</xdr:col>
                    <xdr:colOff>914400</xdr:colOff>
                    <xdr:row>2</xdr:row>
                    <xdr:rowOff>100013</xdr:rowOff>
                  </from>
                  <to>
                    <xdr:col>2</xdr:col>
                    <xdr:colOff>242888</xdr:colOff>
                    <xdr:row>4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데이터수집_디버깅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185738</xdr:colOff>
                    <xdr:row>12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시트구조_분석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185738</xdr:colOff>
                    <xdr:row>13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Button 6">
              <controlPr defaultSize="0" print="0" autoFill="0" autoPict="0" macro="[0]!전체년도데이터_미리보기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185738</xdr:colOff>
                    <xdr:row>14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9" name="Button 7">
              <controlPr defaultSize="0" print="0" autoFill="0" autoPict="0" macro="[0]!빠른_전체년도_테스트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185738</xdr:colOff>
                    <xdr:row>15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6F4F-1775-4F68-8DB5-02D0AABB8AF8}">
  <sheetPr codeName="Sheet1"/>
  <dimension ref="A1:M103"/>
  <sheetViews>
    <sheetView showGridLines="0" topLeftCell="A43" zoomScale="112" zoomScaleNormal="80" workbookViewId="0">
      <selection activeCell="E114" sqref="E114"/>
    </sheetView>
  </sheetViews>
  <sheetFormatPr defaultColWidth="8.8125" defaultRowHeight="17.25" customHeight="1" x14ac:dyDescent="0.6"/>
  <cols>
    <col min="1" max="1" width="12.1875" style="265" bestFit="1" customWidth="1"/>
    <col min="2" max="2" width="14.6875" bestFit="1" customWidth="1"/>
    <col min="3" max="3" width="15.6875" bestFit="1" customWidth="1"/>
    <col min="4" max="6" width="14.6875" bestFit="1" customWidth="1"/>
    <col min="7" max="7" width="15.6875" bestFit="1" customWidth="1"/>
    <col min="8" max="9" width="14.6875" bestFit="1" customWidth="1"/>
    <col min="10" max="10" width="15.1875" bestFit="1" customWidth="1"/>
    <col min="11" max="13" width="14.6875" bestFit="1" customWidth="1"/>
  </cols>
  <sheetData>
    <row r="1" spans="1:13" ht="17.25" customHeight="1" x14ac:dyDescent="0.6">
      <c r="A1" s="265" t="s">
        <v>0</v>
      </c>
      <c r="B1" s="1">
        <v>6111678644</v>
      </c>
      <c r="C1" s="307" t="s">
        <v>1128</v>
      </c>
      <c r="D1" s="300" t="s">
        <v>1130</v>
      </c>
    </row>
    <row r="3" spans="1:13" ht="17.25" customHeight="1" thickBot="1" x14ac:dyDescent="0.65">
      <c r="A3" s="2" t="s">
        <v>1</v>
      </c>
      <c r="B3" s="3" t="s">
        <v>2</v>
      </c>
      <c r="C3" s="308" t="s">
        <v>1129</v>
      </c>
      <c r="D3" s="309">
        <v>45817.392361111109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</row>
    <row r="4" spans="1:13" ht="17.25" customHeight="1" x14ac:dyDescent="0.6">
      <c r="A4" s="5" t="s">
        <v>14</v>
      </c>
      <c r="B4" s="6">
        <v>18620699</v>
      </c>
      <c r="C4" s="6">
        <v>18939029</v>
      </c>
      <c r="D4" s="6">
        <v>16505507</v>
      </c>
      <c r="E4" s="6">
        <v>11207638</v>
      </c>
      <c r="F4" s="310" t="s">
        <v>1125</v>
      </c>
      <c r="G4" s="6">
        <v>14079937</v>
      </c>
      <c r="H4" s="6">
        <v>23257362</v>
      </c>
      <c r="I4" s="6">
        <v>30154458</v>
      </c>
      <c r="J4" s="6">
        <v>14381646</v>
      </c>
      <c r="K4" s="6">
        <v>30719024</v>
      </c>
      <c r="L4" s="6">
        <v>22511676</v>
      </c>
      <c r="M4" s="6">
        <v>32906124</v>
      </c>
    </row>
    <row r="5" spans="1:13" ht="17.25" customHeight="1" x14ac:dyDescent="0.6">
      <c r="A5" s="7" t="s">
        <v>15</v>
      </c>
      <c r="B5" s="8"/>
      <c r="C5" s="8"/>
      <c r="D5" s="8"/>
      <c r="E5" s="8"/>
      <c r="F5" s="312">
        <v>0.39288194444444446</v>
      </c>
      <c r="G5" s="8"/>
      <c r="H5" s="8"/>
      <c r="I5" s="8"/>
      <c r="J5" s="8"/>
      <c r="K5" s="8"/>
      <c r="L5" s="8"/>
      <c r="M5" s="8"/>
    </row>
    <row r="6" spans="1:13" ht="17.25" customHeight="1" x14ac:dyDescent="0.6">
      <c r="A6" s="267" t="s">
        <v>16</v>
      </c>
      <c r="B6" s="8"/>
      <c r="C6" s="8"/>
      <c r="D6" s="8"/>
      <c r="E6" s="8"/>
      <c r="F6" s="311" t="s">
        <v>1127</v>
      </c>
      <c r="G6" s="8"/>
      <c r="H6" s="8"/>
      <c r="I6" s="8"/>
      <c r="J6" s="8"/>
      <c r="K6" s="8"/>
      <c r="L6" s="8"/>
      <c r="M6" s="8"/>
    </row>
    <row r="7" spans="1:13" ht="17.25" customHeight="1" x14ac:dyDescent="0.6">
      <c r="A7" s="268" t="s">
        <v>17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</row>
    <row r="8" spans="1:13" ht="17.25" customHeight="1" x14ac:dyDescent="0.6">
      <c r="A8" s="9" t="s">
        <v>18</v>
      </c>
      <c r="B8" s="10" t="s">
        <v>19</v>
      </c>
      <c r="C8" s="10">
        <f>SUM(B4:M4)</f>
        <v>233283100</v>
      </c>
      <c r="D8" s="10" t="s">
        <v>15</v>
      </c>
      <c r="E8" s="10">
        <f>SUM(B5:M5)</f>
        <v>0.39288194444444446</v>
      </c>
      <c r="F8" s="10" t="s">
        <v>20</v>
      </c>
      <c r="G8" s="10">
        <f>SUM(B7:M7)</f>
        <v>0</v>
      </c>
      <c r="H8" s="10" t="s">
        <v>21</v>
      </c>
      <c r="I8" s="10">
        <f>C8+E8-G8</f>
        <v>233283100.39288193</v>
      </c>
      <c r="J8" s="10" t="s">
        <v>22</v>
      </c>
      <c r="K8" s="10">
        <f>SUM(B6:M6)</f>
        <v>0</v>
      </c>
      <c r="L8" s="10" t="s">
        <v>23</v>
      </c>
      <c r="M8" s="10">
        <f>B1+C8+E8-G8-K8</f>
        <v>6344961744.3928823</v>
      </c>
    </row>
    <row r="9" spans="1:13" ht="17.25" customHeight="1" x14ac:dyDescent="0.6">
      <c r="D9" s="11" t="s">
        <v>24</v>
      </c>
      <c r="E9" s="11"/>
      <c r="F9" s="12"/>
      <c r="G9" s="13">
        <f>G8/C8</f>
        <v>0</v>
      </c>
      <c r="H9" s="12"/>
      <c r="J9" s="11" t="s">
        <v>25</v>
      </c>
      <c r="K9" s="11"/>
      <c r="L9" s="14" t="e">
        <f>K9/$K$8</f>
        <v>#DIV/0!</v>
      </c>
    </row>
    <row r="10" spans="1:13" ht="17.25" customHeight="1" x14ac:dyDescent="0.6">
      <c r="A10" s="265" t="s">
        <v>71</v>
      </c>
      <c r="B10">
        <v>3127668</v>
      </c>
      <c r="C10">
        <v>1463872</v>
      </c>
      <c r="D10" s="11">
        <v>3322983</v>
      </c>
      <c r="E10" s="11">
        <v>1202010</v>
      </c>
      <c r="F10" s="15">
        <v>2502200</v>
      </c>
      <c r="G10" s="16">
        <v>4830440</v>
      </c>
      <c r="H10" s="12">
        <v>4437376</v>
      </c>
      <c r="I10">
        <v>3345011</v>
      </c>
      <c r="J10" s="11">
        <v>1823417</v>
      </c>
      <c r="K10" s="11">
        <v>2834470</v>
      </c>
      <c r="L10" s="14">
        <v>4283121</v>
      </c>
      <c r="M10">
        <v>1440116</v>
      </c>
    </row>
    <row r="11" spans="1:13" ht="17.25" customHeight="1" x14ac:dyDescent="0.6">
      <c r="A11" s="265" t="s">
        <v>291</v>
      </c>
      <c r="B11">
        <v>3230729</v>
      </c>
      <c r="C11">
        <v>1777461</v>
      </c>
      <c r="D11" s="12">
        <v>4119813</v>
      </c>
      <c r="E11" s="12">
        <v>1312877</v>
      </c>
      <c r="F11" s="12">
        <v>2227010</v>
      </c>
      <c r="G11" s="12">
        <v>4383274</v>
      </c>
      <c r="H11" s="12">
        <v>4564806</v>
      </c>
      <c r="I11">
        <v>5041374</v>
      </c>
      <c r="J11" s="11">
        <v>1480059</v>
      </c>
      <c r="K11" s="11">
        <v>3229634</v>
      </c>
      <c r="L11" s="14">
        <v>3264632</v>
      </c>
      <c r="M11">
        <v>1336713</v>
      </c>
    </row>
    <row r="12" spans="1:13" ht="17.25" customHeight="1" x14ac:dyDescent="0.6">
      <c r="A12" s="265" t="s">
        <v>342</v>
      </c>
      <c r="B12">
        <v>3968286</v>
      </c>
      <c r="C12">
        <v>1539445</v>
      </c>
      <c r="D12">
        <v>3638169</v>
      </c>
      <c r="E12">
        <v>1539242</v>
      </c>
      <c r="F12">
        <v>1919178</v>
      </c>
      <c r="G12">
        <v>4969897</v>
      </c>
      <c r="H12">
        <v>5075897</v>
      </c>
      <c r="I12">
        <v>4038856</v>
      </c>
      <c r="J12" s="11">
        <v>1926508</v>
      </c>
      <c r="K12" s="11">
        <v>2340426</v>
      </c>
      <c r="L12" s="14">
        <v>4254417</v>
      </c>
      <c r="M12">
        <v>1170509</v>
      </c>
    </row>
    <row r="13" spans="1:13" ht="17.25" customHeight="1" x14ac:dyDescent="0.6">
      <c r="A13" s="265" t="s">
        <v>312</v>
      </c>
      <c r="B13">
        <v>2536267</v>
      </c>
      <c r="C13">
        <v>1274178</v>
      </c>
      <c r="D13">
        <v>4872034</v>
      </c>
      <c r="E13">
        <v>1617924</v>
      </c>
      <c r="F13">
        <v>2433270</v>
      </c>
      <c r="G13">
        <v>5310095</v>
      </c>
      <c r="H13">
        <v>5128444</v>
      </c>
      <c r="I13">
        <v>4262197</v>
      </c>
      <c r="J13" s="11">
        <v>1833229</v>
      </c>
      <c r="K13" s="11">
        <v>2971277</v>
      </c>
      <c r="L13" s="14">
        <v>3103242</v>
      </c>
      <c r="M13">
        <v>1406420</v>
      </c>
    </row>
    <row r="14" spans="1:13" ht="17.25" customHeight="1" x14ac:dyDescent="0.6">
      <c r="A14" s="265" t="s">
        <v>59</v>
      </c>
      <c r="B14">
        <v>2609095</v>
      </c>
      <c r="C14">
        <v>1763721</v>
      </c>
      <c r="D14">
        <v>3848867</v>
      </c>
      <c r="E14">
        <v>1148716</v>
      </c>
      <c r="F14">
        <v>2236936</v>
      </c>
      <c r="G14">
        <v>5094409</v>
      </c>
      <c r="H14">
        <v>4036113</v>
      </c>
      <c r="I14">
        <v>4262087</v>
      </c>
      <c r="J14" s="11">
        <v>1653163</v>
      </c>
      <c r="K14" s="11">
        <v>3691395</v>
      </c>
      <c r="L14" s="14">
        <v>3913755</v>
      </c>
      <c r="M14">
        <v>1330139</v>
      </c>
    </row>
    <row r="15" spans="1:13" ht="17.25" customHeight="1" x14ac:dyDescent="0.6">
      <c r="J15" s="11" t="s">
        <v>29</v>
      </c>
      <c r="K15" s="11"/>
      <c r="L15" s="14" t="e">
        <f t="shared" ref="L15:L16" si="0">K15/$K$8</f>
        <v>#DIV/0!</v>
      </c>
    </row>
    <row r="16" spans="1:13" ht="17.25" customHeight="1" x14ac:dyDescent="0.6">
      <c r="J16" s="11" t="s">
        <v>30</v>
      </c>
      <c r="K16" s="11"/>
      <c r="L16" s="14" t="e">
        <f t="shared" si="0"/>
        <v>#DIV/0!</v>
      </c>
    </row>
    <row r="17" spans="1:13" ht="17.25" customHeight="1" x14ac:dyDescent="0.6">
      <c r="J17" s="11" t="s">
        <v>31</v>
      </c>
      <c r="K17" s="11"/>
    </row>
    <row r="18" spans="1:13" ht="17.25" customHeight="1" x14ac:dyDescent="0.6">
      <c r="A18" s="265" t="s">
        <v>0</v>
      </c>
      <c r="B18" s="1">
        <f>M8</f>
        <v>6344961744.3928823</v>
      </c>
      <c r="J18" s="11"/>
      <c r="K18" s="11"/>
    </row>
    <row r="19" spans="1:13" ht="17.25" customHeight="1" x14ac:dyDescent="0.6">
      <c r="J19" s="11"/>
      <c r="K19" s="11"/>
    </row>
    <row r="20" spans="1:13" ht="17.25" customHeight="1" thickBot="1" x14ac:dyDescent="0.65">
      <c r="A20" s="2" t="s">
        <v>32</v>
      </c>
      <c r="B20" s="3" t="s">
        <v>2</v>
      </c>
      <c r="C20" s="308" t="s">
        <v>1129</v>
      </c>
      <c r="D20" s="309">
        <v>45817.392361111109</v>
      </c>
      <c r="E20" s="3" t="s">
        <v>5</v>
      </c>
      <c r="F20" s="3" t="s">
        <v>6</v>
      </c>
      <c r="G20" s="3" t="s">
        <v>7</v>
      </c>
      <c r="H20" s="3" t="s">
        <v>8</v>
      </c>
      <c r="I20" s="3" t="s">
        <v>9</v>
      </c>
      <c r="J20" s="3" t="s">
        <v>10</v>
      </c>
      <c r="K20" s="3" t="s">
        <v>11</v>
      </c>
      <c r="L20" s="3" t="s">
        <v>12</v>
      </c>
      <c r="M20" s="4" t="s">
        <v>13</v>
      </c>
    </row>
    <row r="21" spans="1:13" ht="17.25" customHeight="1" x14ac:dyDescent="0.6">
      <c r="A21" s="5" t="s">
        <v>14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ht="17.25" customHeight="1" x14ac:dyDescent="0.6">
      <c r="A22" s="7" t="s">
        <v>15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1:13" ht="17.25" customHeight="1" x14ac:dyDescent="0.6">
      <c r="A23" s="267" t="s">
        <v>16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1:13" ht="17.25" customHeight="1" x14ac:dyDescent="0.6">
      <c r="A24" s="268" t="s">
        <v>17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1:13" ht="17.25" customHeight="1" x14ac:dyDescent="0.6">
      <c r="A25" s="9" t="s">
        <v>18</v>
      </c>
      <c r="B25" s="10" t="s">
        <v>19</v>
      </c>
      <c r="C25" s="10">
        <f>SUM(B21:M21)</f>
        <v>0</v>
      </c>
      <c r="D25" s="10" t="s">
        <v>15</v>
      </c>
      <c r="E25" s="10">
        <f>SUM(B22:M22)</f>
        <v>0</v>
      </c>
      <c r="F25" s="10" t="s">
        <v>20</v>
      </c>
      <c r="G25" s="10">
        <f>SUM(B24:M24)</f>
        <v>0</v>
      </c>
      <c r="H25" s="10" t="s">
        <v>21</v>
      </c>
      <c r="I25" s="10">
        <f>C25+E25-G25</f>
        <v>0</v>
      </c>
      <c r="J25" s="10" t="s">
        <v>22</v>
      </c>
      <c r="K25" s="10">
        <f>SUM(B23:M23)</f>
        <v>0</v>
      </c>
      <c r="L25" s="10" t="s">
        <v>23</v>
      </c>
      <c r="M25" s="10">
        <f>B18+C25+E25-G25-K25</f>
        <v>6344961744.3928823</v>
      </c>
    </row>
    <row r="26" spans="1:13" ht="17.25" customHeight="1" x14ac:dyDescent="0.6">
      <c r="D26" s="11" t="s">
        <v>33</v>
      </c>
      <c r="E26" s="11"/>
      <c r="F26" s="12"/>
      <c r="G26" s="13" t="e">
        <f>G25/C25</f>
        <v>#DIV/0!</v>
      </c>
      <c r="J26" s="11" t="s">
        <v>34</v>
      </c>
      <c r="K26" s="11"/>
      <c r="L26" s="17" t="e">
        <f>K26/$K$25</f>
        <v>#DIV/0!</v>
      </c>
    </row>
    <row r="27" spans="1:13" ht="17.25" customHeight="1" x14ac:dyDescent="0.6">
      <c r="D27" s="11" t="s">
        <v>26</v>
      </c>
      <c r="E27" s="11"/>
      <c r="F27" s="15" t="s">
        <v>27</v>
      </c>
      <c r="G27" s="16">
        <f>C25-G25</f>
        <v>0</v>
      </c>
      <c r="J27" s="11" t="s">
        <v>35</v>
      </c>
      <c r="K27" s="11"/>
      <c r="L27" s="17" t="e">
        <f t="shared" ref="L27:L33" si="1">K27/$K$25</f>
        <v>#DIV/0!</v>
      </c>
    </row>
    <row r="28" spans="1:13" ht="17.25" customHeight="1" x14ac:dyDescent="0.6">
      <c r="F28" s="12"/>
      <c r="G28" s="12"/>
      <c r="J28" s="11" t="s">
        <v>36</v>
      </c>
      <c r="K28" s="11"/>
      <c r="L28" s="17" t="e">
        <f t="shared" si="1"/>
        <v>#DIV/0!</v>
      </c>
    </row>
    <row r="29" spans="1:13" ht="17.25" customHeight="1" x14ac:dyDescent="0.6">
      <c r="J29" s="11" t="s">
        <v>37</v>
      </c>
      <c r="K29" s="11"/>
      <c r="L29" s="17" t="e">
        <f t="shared" si="1"/>
        <v>#DIV/0!</v>
      </c>
    </row>
    <row r="30" spans="1:13" ht="17.25" customHeight="1" x14ac:dyDescent="0.6">
      <c r="J30" s="11" t="s">
        <v>38</v>
      </c>
      <c r="K30" s="11"/>
      <c r="L30" s="17" t="e">
        <f t="shared" si="1"/>
        <v>#DIV/0!</v>
      </c>
    </row>
    <row r="31" spans="1:13" ht="17.25" customHeight="1" x14ac:dyDescent="0.6">
      <c r="J31" s="11" t="s">
        <v>28</v>
      </c>
      <c r="K31" s="11"/>
      <c r="L31" s="17" t="e">
        <f t="shared" si="1"/>
        <v>#DIV/0!</v>
      </c>
    </row>
    <row r="32" spans="1:13" ht="17.25" customHeight="1" x14ac:dyDescent="0.6">
      <c r="J32" s="11" t="s">
        <v>29</v>
      </c>
      <c r="K32" s="11"/>
      <c r="L32" s="17" t="e">
        <f t="shared" si="1"/>
        <v>#DIV/0!</v>
      </c>
    </row>
    <row r="33" spans="1:13" ht="17.25" customHeight="1" x14ac:dyDescent="0.6">
      <c r="J33" s="11" t="s">
        <v>30</v>
      </c>
      <c r="K33" s="11"/>
      <c r="L33" s="17" t="e">
        <f t="shared" si="1"/>
        <v>#DIV/0!</v>
      </c>
    </row>
    <row r="34" spans="1:13" ht="17.25" customHeight="1" x14ac:dyDescent="0.6">
      <c r="J34" s="11" t="s">
        <v>31</v>
      </c>
      <c r="K34" s="11"/>
      <c r="L34" s="12"/>
    </row>
    <row r="35" spans="1:13" ht="17.25" customHeight="1" x14ac:dyDescent="0.6">
      <c r="A35" s="265" t="s">
        <v>0</v>
      </c>
      <c r="B35" s="1">
        <f>M25</f>
        <v>6344961744.3928823</v>
      </c>
      <c r="J35" s="11"/>
      <c r="K35" s="11"/>
      <c r="L35" s="12"/>
    </row>
    <row r="36" spans="1:13" ht="17.25" customHeight="1" x14ac:dyDescent="0.6">
      <c r="J36" s="18"/>
      <c r="K36" s="18"/>
    </row>
    <row r="37" spans="1:13" ht="17.25" customHeight="1" thickBot="1" x14ac:dyDescent="0.65">
      <c r="A37" s="2" t="s">
        <v>39</v>
      </c>
      <c r="B37" s="3" t="s">
        <v>2</v>
      </c>
      <c r="C37" s="308" t="s">
        <v>1129</v>
      </c>
      <c r="D37" s="309">
        <v>45817.392361111109</v>
      </c>
      <c r="E37" s="3" t="s">
        <v>5</v>
      </c>
      <c r="F37" s="3" t="s">
        <v>6</v>
      </c>
      <c r="G37" s="3" t="s">
        <v>7</v>
      </c>
      <c r="H37" s="3" t="s">
        <v>8</v>
      </c>
      <c r="I37" s="3" t="s">
        <v>9</v>
      </c>
      <c r="J37" s="3" t="s">
        <v>10</v>
      </c>
      <c r="K37" s="3" t="s">
        <v>11</v>
      </c>
      <c r="L37" s="3" t="s">
        <v>12</v>
      </c>
      <c r="M37" s="4" t="s">
        <v>13</v>
      </c>
    </row>
    <row r="38" spans="1:13" ht="17.25" customHeight="1" x14ac:dyDescent="0.6">
      <c r="A38" s="5" t="s">
        <v>14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ht="17.25" customHeight="1" x14ac:dyDescent="0.6">
      <c r="A39" s="7" t="s">
        <v>15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1:13" ht="17.25" customHeight="1" x14ac:dyDescent="0.6">
      <c r="A40" s="267" t="s">
        <v>16</v>
      </c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1:13" ht="17.25" customHeight="1" x14ac:dyDescent="0.6">
      <c r="A41" s="268" t="s">
        <v>17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1:13" ht="17.25" customHeight="1" x14ac:dyDescent="0.6">
      <c r="A42" s="9" t="s">
        <v>18</v>
      </c>
      <c r="B42" s="10" t="s">
        <v>19</v>
      </c>
      <c r="C42" s="10">
        <f>SUM(B38:M38)</f>
        <v>0</v>
      </c>
      <c r="D42" s="10" t="s">
        <v>15</v>
      </c>
      <c r="E42" s="10">
        <f>SUM(B39:M39)</f>
        <v>0</v>
      </c>
      <c r="F42" s="10" t="s">
        <v>20</v>
      </c>
      <c r="G42" s="10">
        <f>SUM(B41:M41)</f>
        <v>0</v>
      </c>
      <c r="H42" s="10" t="s">
        <v>21</v>
      </c>
      <c r="I42" s="10">
        <f>C42+E42-G42</f>
        <v>0</v>
      </c>
      <c r="J42" s="10" t="s">
        <v>22</v>
      </c>
      <c r="K42" s="10">
        <f>SUM(B40:M40)</f>
        <v>0</v>
      </c>
      <c r="L42" s="10" t="s">
        <v>23</v>
      </c>
      <c r="M42" s="10">
        <f>B35+C42+E42-G42-K42</f>
        <v>6344961744.3928823</v>
      </c>
    </row>
    <row r="43" spans="1:13" ht="17.25" customHeight="1" x14ac:dyDescent="0.6">
      <c r="D43" s="11" t="s">
        <v>40</v>
      </c>
      <c r="E43" s="11"/>
      <c r="F43" s="12"/>
      <c r="G43" s="13" t="e">
        <f>G42/C42</f>
        <v>#DIV/0!</v>
      </c>
      <c r="H43" s="12"/>
      <c r="I43" s="12"/>
      <c r="J43" s="11" t="s">
        <v>34</v>
      </c>
      <c r="K43" s="11"/>
      <c r="L43" s="14" t="e">
        <f>K43/$K$42</f>
        <v>#DIV/0!</v>
      </c>
    </row>
    <row r="44" spans="1:13" ht="17.25" customHeight="1" x14ac:dyDescent="0.6">
      <c r="D44" s="11" t="s">
        <v>41</v>
      </c>
      <c r="E44" s="11"/>
      <c r="F44" s="15" t="s">
        <v>27</v>
      </c>
      <c r="G44" s="16">
        <f>C42-G42</f>
        <v>0</v>
      </c>
      <c r="H44" s="12"/>
      <c r="I44" s="12"/>
      <c r="J44" s="11" t="s">
        <v>35</v>
      </c>
      <c r="K44" s="11"/>
      <c r="L44" s="14" t="e">
        <f t="shared" ref="L44:L50" si="2">K44/$K$42</f>
        <v>#DIV/0!</v>
      </c>
    </row>
    <row r="45" spans="1:13" ht="17.25" customHeight="1" x14ac:dyDescent="0.6">
      <c r="D45" s="11" t="s">
        <v>42</v>
      </c>
      <c r="E45" s="11"/>
      <c r="F45" s="12"/>
      <c r="G45" s="12"/>
      <c r="H45" s="12"/>
      <c r="I45" s="12"/>
      <c r="J45" s="11" t="s">
        <v>36</v>
      </c>
      <c r="K45" s="11"/>
      <c r="L45" s="14" t="e">
        <f t="shared" si="2"/>
        <v>#DIV/0!</v>
      </c>
    </row>
    <row r="46" spans="1:13" ht="17.25" customHeight="1" x14ac:dyDescent="0.6">
      <c r="D46" s="12"/>
      <c r="E46" s="12"/>
      <c r="F46" s="12"/>
      <c r="G46" s="12"/>
      <c r="H46" s="12"/>
      <c r="I46" s="12"/>
      <c r="J46" s="11" t="s">
        <v>37</v>
      </c>
      <c r="K46" s="11"/>
      <c r="L46" s="14" t="e">
        <f t="shared" si="2"/>
        <v>#DIV/0!</v>
      </c>
    </row>
    <row r="47" spans="1:13" ht="17.25" customHeight="1" x14ac:dyDescent="0.6">
      <c r="D47" s="12"/>
      <c r="E47" s="12"/>
      <c r="F47" s="12"/>
      <c r="G47" s="12"/>
      <c r="H47" s="12"/>
      <c r="I47" s="12"/>
      <c r="J47" s="11" t="s">
        <v>38</v>
      </c>
      <c r="K47" s="11"/>
      <c r="L47" s="14" t="e">
        <f t="shared" si="2"/>
        <v>#DIV/0!</v>
      </c>
    </row>
    <row r="48" spans="1:13" ht="17.25" customHeight="1" x14ac:dyDescent="0.6">
      <c r="D48" s="12"/>
      <c r="E48" s="12"/>
      <c r="F48" s="12"/>
      <c r="G48" s="12"/>
      <c r="H48" s="12"/>
      <c r="I48" s="12"/>
      <c r="J48" s="11" t="s">
        <v>28</v>
      </c>
      <c r="K48" s="11"/>
      <c r="L48" s="14" t="e">
        <f t="shared" si="2"/>
        <v>#DIV/0!</v>
      </c>
    </row>
    <row r="49" spans="1:13" ht="17.25" customHeight="1" x14ac:dyDescent="0.6">
      <c r="D49" s="12"/>
      <c r="E49" s="12"/>
      <c r="F49" s="12"/>
      <c r="G49" s="12"/>
      <c r="H49" s="12"/>
      <c r="I49" s="12"/>
      <c r="J49" s="11" t="s">
        <v>43</v>
      </c>
      <c r="K49" s="11"/>
      <c r="L49" s="14" t="e">
        <f t="shared" si="2"/>
        <v>#DIV/0!</v>
      </c>
    </row>
    <row r="50" spans="1:13" ht="17.25" customHeight="1" x14ac:dyDescent="0.6">
      <c r="D50" s="12"/>
      <c r="E50" s="12"/>
      <c r="F50" s="12"/>
      <c r="G50" s="12"/>
      <c r="H50" s="12"/>
      <c r="I50" s="12"/>
      <c r="J50" s="11" t="s">
        <v>44</v>
      </c>
      <c r="K50" s="11"/>
      <c r="L50" s="14" t="e">
        <f t="shared" si="2"/>
        <v>#DIV/0!</v>
      </c>
    </row>
    <row r="51" spans="1:13" ht="17.25" customHeight="1" x14ac:dyDescent="0.6">
      <c r="D51" s="12"/>
      <c r="E51" s="12"/>
      <c r="F51" s="12"/>
      <c r="G51" s="12"/>
      <c r="H51" s="12"/>
      <c r="I51" s="12"/>
      <c r="J51" s="11" t="s">
        <v>31</v>
      </c>
      <c r="K51" s="11"/>
    </row>
    <row r="52" spans="1:13" ht="17.25" customHeight="1" x14ac:dyDescent="0.6">
      <c r="A52" s="265" t="s">
        <v>0</v>
      </c>
      <c r="B52" s="1">
        <f>M42</f>
        <v>6344961744.3928823</v>
      </c>
      <c r="D52" s="12"/>
      <c r="E52" s="12"/>
      <c r="F52" s="12"/>
      <c r="G52" s="12"/>
      <c r="H52" s="12"/>
      <c r="I52" s="12"/>
      <c r="J52" s="11"/>
      <c r="K52" s="11"/>
    </row>
    <row r="53" spans="1:13" ht="17.25" customHeight="1" x14ac:dyDescent="0.6">
      <c r="D53" s="12"/>
      <c r="E53" s="12"/>
      <c r="F53" s="12"/>
      <c r="G53" s="12"/>
      <c r="H53" s="12"/>
      <c r="I53" s="12"/>
      <c r="J53" s="11"/>
      <c r="K53" s="11"/>
    </row>
    <row r="54" spans="1:13" ht="17.25" customHeight="1" thickBot="1" x14ac:dyDescent="0.65">
      <c r="A54" s="2" t="s">
        <v>45</v>
      </c>
      <c r="B54" s="3" t="s">
        <v>2</v>
      </c>
      <c r="C54" s="3" t="s">
        <v>3</v>
      </c>
      <c r="D54" s="3" t="s">
        <v>4</v>
      </c>
      <c r="E54" s="3" t="s">
        <v>5</v>
      </c>
      <c r="F54" s="3" t="s">
        <v>6</v>
      </c>
      <c r="G54" s="3" t="s">
        <v>7</v>
      </c>
      <c r="H54" s="3" t="s">
        <v>8</v>
      </c>
      <c r="I54" s="3" t="s">
        <v>9</v>
      </c>
      <c r="J54" s="3" t="s">
        <v>10</v>
      </c>
      <c r="K54" s="3" t="s">
        <v>11</v>
      </c>
      <c r="L54" s="3" t="s">
        <v>12</v>
      </c>
      <c r="M54" s="4" t="s">
        <v>13</v>
      </c>
    </row>
    <row r="55" spans="1:13" ht="17.25" customHeight="1" x14ac:dyDescent="0.6">
      <c r="A55" s="5" t="s">
        <v>14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ht="17.25" customHeight="1" x14ac:dyDescent="0.6">
      <c r="A56" s="7" t="s">
        <v>15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1:13" ht="17.25" customHeight="1" x14ac:dyDescent="0.6">
      <c r="A57" s="267" t="s">
        <v>16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1:13" ht="17.25" customHeight="1" x14ac:dyDescent="0.6">
      <c r="A58" s="268" t="s">
        <v>17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1:13" ht="17.25" customHeight="1" x14ac:dyDescent="0.6">
      <c r="A59" s="9" t="s">
        <v>18</v>
      </c>
      <c r="B59" s="10" t="s">
        <v>19</v>
      </c>
      <c r="C59" s="10">
        <f>SUM(B55:M55)</f>
        <v>0</v>
      </c>
      <c r="D59" s="10" t="s">
        <v>15</v>
      </c>
      <c r="E59" s="10">
        <f>SUM(B56:M56)</f>
        <v>0</v>
      </c>
      <c r="F59" s="10" t="s">
        <v>20</v>
      </c>
      <c r="G59" s="10">
        <f>SUM(B58:M58)</f>
        <v>0</v>
      </c>
      <c r="H59" s="10" t="s">
        <v>21</v>
      </c>
      <c r="I59" s="10">
        <f>C59+E59-G59</f>
        <v>0</v>
      </c>
      <c r="J59" s="10" t="s">
        <v>22</v>
      </c>
      <c r="K59" s="10">
        <f>SUM(B57:M57)</f>
        <v>0</v>
      </c>
      <c r="L59" s="10" t="s">
        <v>23</v>
      </c>
      <c r="M59" s="10">
        <f>B52+C59+E59-G59-K59</f>
        <v>6344961744.3928823</v>
      </c>
    </row>
    <row r="60" spans="1:13" ht="17.25" customHeight="1" x14ac:dyDescent="0.6">
      <c r="D60" s="11" t="s">
        <v>40</v>
      </c>
      <c r="E60" s="11"/>
      <c r="F60" s="12"/>
      <c r="G60" s="13" t="e">
        <f>G59/C59</f>
        <v>#DIV/0!</v>
      </c>
      <c r="H60" s="12"/>
      <c r="I60" s="12"/>
      <c r="J60" s="11" t="s">
        <v>34</v>
      </c>
      <c r="K60" s="11"/>
      <c r="L60" s="14" t="e">
        <f>K60/$K$59</f>
        <v>#DIV/0!</v>
      </c>
    </row>
    <row r="61" spans="1:13" ht="17.25" customHeight="1" x14ac:dyDescent="0.6">
      <c r="D61" s="11" t="s">
        <v>41</v>
      </c>
      <c r="E61" s="11"/>
      <c r="F61" s="15" t="s">
        <v>27</v>
      </c>
      <c r="G61" s="16">
        <f>C59-G59</f>
        <v>0</v>
      </c>
      <c r="H61" s="12"/>
      <c r="I61" s="12"/>
      <c r="J61" s="11" t="s">
        <v>35</v>
      </c>
      <c r="K61" s="11"/>
      <c r="L61" s="14" t="e">
        <f t="shared" ref="L61:L67" si="3">K61/$K$59</f>
        <v>#DIV/0!</v>
      </c>
    </row>
    <row r="62" spans="1:13" ht="17.25" customHeight="1" x14ac:dyDescent="0.6">
      <c r="D62" s="11"/>
      <c r="E62" s="11"/>
      <c r="F62" s="12"/>
      <c r="G62" s="12"/>
      <c r="H62" s="12"/>
      <c r="I62" s="12"/>
      <c r="J62" s="11" t="s">
        <v>36</v>
      </c>
      <c r="K62" s="11"/>
      <c r="L62" s="14" t="e">
        <f t="shared" si="3"/>
        <v>#DIV/0!</v>
      </c>
    </row>
    <row r="63" spans="1:13" ht="17.25" customHeight="1" x14ac:dyDescent="0.6">
      <c r="D63" s="12"/>
      <c r="E63" s="12"/>
      <c r="F63" s="12"/>
      <c r="G63" s="12"/>
      <c r="H63" s="12"/>
      <c r="I63" s="12"/>
      <c r="J63" s="11" t="s">
        <v>37</v>
      </c>
      <c r="K63" s="11"/>
      <c r="L63" s="14" t="e">
        <f t="shared" si="3"/>
        <v>#DIV/0!</v>
      </c>
    </row>
    <row r="64" spans="1:13" ht="17.25" customHeight="1" x14ac:dyDescent="0.6">
      <c r="D64" s="12"/>
      <c r="E64" s="12"/>
      <c r="F64" s="12"/>
      <c r="G64" s="12"/>
      <c r="H64" s="12"/>
      <c r="I64" s="12"/>
      <c r="J64" s="11" t="s">
        <v>38</v>
      </c>
      <c r="K64" s="11"/>
      <c r="L64" s="14" t="e">
        <f t="shared" si="3"/>
        <v>#DIV/0!</v>
      </c>
    </row>
    <row r="65" spans="1:13" ht="17.25" customHeight="1" x14ac:dyDescent="0.6">
      <c r="D65" s="12"/>
      <c r="E65" s="12"/>
      <c r="F65" s="12"/>
      <c r="G65" s="12"/>
      <c r="H65" s="12"/>
      <c r="I65" s="12"/>
      <c r="J65" s="11" t="s">
        <v>28</v>
      </c>
      <c r="K65" s="11"/>
      <c r="L65" s="14" t="e">
        <f t="shared" si="3"/>
        <v>#DIV/0!</v>
      </c>
    </row>
    <row r="66" spans="1:13" ht="17.25" customHeight="1" x14ac:dyDescent="0.6">
      <c r="D66" s="12"/>
      <c r="E66" s="12"/>
      <c r="F66" s="12"/>
      <c r="G66" s="12"/>
      <c r="H66" s="12"/>
      <c r="I66" s="12"/>
      <c r="J66" s="11" t="s">
        <v>43</v>
      </c>
      <c r="K66" s="11"/>
      <c r="L66" s="14" t="e">
        <f t="shared" si="3"/>
        <v>#DIV/0!</v>
      </c>
    </row>
    <row r="67" spans="1:13" ht="17.25" customHeight="1" x14ac:dyDescent="0.6">
      <c r="D67" s="12"/>
      <c r="E67" s="12"/>
      <c r="F67" s="12"/>
      <c r="G67" s="12"/>
      <c r="H67" s="12"/>
      <c r="I67" s="12"/>
      <c r="J67" s="11" t="s">
        <v>44</v>
      </c>
      <c r="K67" s="11"/>
      <c r="L67" s="14" t="e">
        <f t="shared" si="3"/>
        <v>#DIV/0!</v>
      </c>
    </row>
    <row r="68" spans="1:13" ht="17.25" customHeight="1" x14ac:dyDescent="0.6">
      <c r="D68" s="12"/>
      <c r="E68" s="12"/>
      <c r="F68" s="12"/>
      <c r="G68" s="12"/>
      <c r="H68" s="12"/>
      <c r="I68" s="12"/>
      <c r="J68" s="11" t="s">
        <v>31</v>
      </c>
      <c r="K68" s="11"/>
    </row>
    <row r="69" spans="1:13" ht="17.25" customHeight="1" x14ac:dyDescent="0.6">
      <c r="A69" s="265" t="s">
        <v>0</v>
      </c>
      <c r="B69" s="1">
        <f>M59</f>
        <v>6344961744.3928823</v>
      </c>
      <c r="D69" s="12"/>
      <c r="E69" s="12"/>
      <c r="F69" s="12"/>
      <c r="G69" s="12"/>
      <c r="H69" s="12"/>
      <c r="I69" s="12"/>
      <c r="J69" s="11"/>
      <c r="K69" s="11"/>
    </row>
    <row r="70" spans="1:13" ht="17.25" customHeight="1" x14ac:dyDescent="0.6">
      <c r="D70" s="12"/>
      <c r="E70" s="12"/>
      <c r="F70" s="12"/>
      <c r="G70" s="12"/>
      <c r="H70" s="12"/>
      <c r="I70" s="12"/>
      <c r="J70" s="11"/>
      <c r="K70" s="11"/>
    </row>
    <row r="71" spans="1:13" ht="17.25" customHeight="1" thickBot="1" x14ac:dyDescent="0.65">
      <c r="A71" s="2" t="s">
        <v>46</v>
      </c>
      <c r="B71" s="3" t="s">
        <v>2</v>
      </c>
      <c r="C71" s="3" t="s">
        <v>3</v>
      </c>
      <c r="D71" s="3" t="s">
        <v>4</v>
      </c>
      <c r="E71" s="3" t="s">
        <v>5</v>
      </c>
      <c r="F71" s="3" t="s">
        <v>6</v>
      </c>
      <c r="G71" s="3" t="s">
        <v>7</v>
      </c>
      <c r="H71" s="3" t="s">
        <v>8</v>
      </c>
      <c r="I71" s="3" t="s">
        <v>9</v>
      </c>
      <c r="J71" s="3" t="s">
        <v>10</v>
      </c>
      <c r="K71" s="3" t="s">
        <v>11</v>
      </c>
      <c r="L71" s="3" t="s">
        <v>12</v>
      </c>
      <c r="M71" s="4" t="s">
        <v>13</v>
      </c>
    </row>
    <row r="72" spans="1:13" ht="17.25" customHeight="1" x14ac:dyDescent="0.6">
      <c r="A72" s="5" t="s">
        <v>14</v>
      </c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 ht="17.25" customHeight="1" x14ac:dyDescent="0.6">
      <c r="A73" s="7" t="s">
        <v>15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1:13" ht="17.25" customHeight="1" x14ac:dyDescent="0.6">
      <c r="A74" s="267" t="s">
        <v>16</v>
      </c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1:13" ht="17.25" customHeight="1" x14ac:dyDescent="0.6">
      <c r="A75" s="268" t="s">
        <v>17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1:13" ht="17.25" customHeight="1" x14ac:dyDescent="0.6">
      <c r="A76" s="9" t="s">
        <v>18</v>
      </c>
      <c r="B76" s="10" t="s">
        <v>19</v>
      </c>
      <c r="C76" s="10">
        <f>SUM(B72:M72)</f>
        <v>0</v>
      </c>
      <c r="D76" s="10" t="s">
        <v>15</v>
      </c>
      <c r="E76" s="10">
        <f>SUM(B73:M73)</f>
        <v>0</v>
      </c>
      <c r="F76" s="10" t="s">
        <v>20</v>
      </c>
      <c r="G76" s="10">
        <f>SUM(B75:M75)</f>
        <v>0</v>
      </c>
      <c r="H76" s="10" t="s">
        <v>21</v>
      </c>
      <c r="I76" s="10">
        <f>C76+E76-G76</f>
        <v>0</v>
      </c>
      <c r="J76" s="10" t="s">
        <v>22</v>
      </c>
      <c r="K76" s="10">
        <f>SUM(B74:M74)</f>
        <v>0</v>
      </c>
      <c r="L76" s="10" t="s">
        <v>23</v>
      </c>
      <c r="M76" s="10">
        <f>B69+C76+E76-G76-K76</f>
        <v>6344961744.3928823</v>
      </c>
    </row>
    <row r="77" spans="1:13" ht="17.25" customHeight="1" x14ac:dyDescent="0.6">
      <c r="D77" s="11" t="s">
        <v>40</v>
      </c>
      <c r="E77" s="11"/>
      <c r="F77" s="12"/>
      <c r="G77" s="13" t="e">
        <f>G76/C76</f>
        <v>#DIV/0!</v>
      </c>
      <c r="H77" s="12"/>
      <c r="I77" s="12"/>
      <c r="J77" s="11" t="s">
        <v>34</v>
      </c>
      <c r="K77" s="11"/>
      <c r="L77" s="14" t="e">
        <f>K77/$K$76</f>
        <v>#DIV/0!</v>
      </c>
    </row>
    <row r="78" spans="1:13" ht="17.25" customHeight="1" x14ac:dyDescent="0.6">
      <c r="D78" s="11" t="s">
        <v>41</v>
      </c>
      <c r="E78" s="11"/>
      <c r="F78" s="15" t="s">
        <v>27</v>
      </c>
      <c r="G78" s="16">
        <f>C76-G76</f>
        <v>0</v>
      </c>
      <c r="H78" s="12"/>
      <c r="I78" s="12"/>
      <c r="J78" s="11" t="s">
        <v>35</v>
      </c>
      <c r="K78" s="11"/>
      <c r="L78" s="14" t="e">
        <f t="shared" ref="L78:L84" si="4">K78/$K$76</f>
        <v>#DIV/0!</v>
      </c>
    </row>
    <row r="79" spans="1:13" ht="17.25" customHeight="1" x14ac:dyDescent="0.6">
      <c r="D79" s="11" t="s">
        <v>47</v>
      </c>
      <c r="E79" s="11"/>
      <c r="F79" s="12"/>
      <c r="G79" s="12"/>
      <c r="H79" s="12"/>
      <c r="I79" s="12"/>
      <c r="J79" s="11" t="s">
        <v>36</v>
      </c>
      <c r="K79" s="11"/>
      <c r="L79" s="14" t="e">
        <f t="shared" si="4"/>
        <v>#DIV/0!</v>
      </c>
    </row>
    <row r="80" spans="1:13" ht="17.25" customHeight="1" x14ac:dyDescent="0.6">
      <c r="D80" s="12"/>
      <c r="E80" s="12"/>
      <c r="F80" s="12"/>
      <c r="G80" s="12"/>
      <c r="H80" s="12"/>
      <c r="I80" s="12"/>
      <c r="J80" s="11" t="s">
        <v>37</v>
      </c>
      <c r="K80" s="11"/>
      <c r="L80" s="14" t="e">
        <f t="shared" si="4"/>
        <v>#DIV/0!</v>
      </c>
    </row>
    <row r="81" spans="1:13" ht="17.25" customHeight="1" x14ac:dyDescent="0.6">
      <c r="D81" s="12"/>
      <c r="E81" s="12"/>
      <c r="F81" s="12"/>
      <c r="G81" s="12"/>
      <c r="H81" s="12"/>
      <c r="I81" s="12"/>
      <c r="J81" s="11" t="s">
        <v>38</v>
      </c>
      <c r="K81" s="11"/>
      <c r="L81" s="14" t="e">
        <f t="shared" si="4"/>
        <v>#DIV/0!</v>
      </c>
    </row>
    <row r="82" spans="1:13" ht="17.25" customHeight="1" x14ac:dyDescent="0.6">
      <c r="D82" s="12"/>
      <c r="E82" s="12"/>
      <c r="F82" s="12"/>
      <c r="G82" s="12"/>
      <c r="H82" s="12"/>
      <c r="I82" s="12"/>
      <c r="J82" s="11" t="s">
        <v>28</v>
      </c>
      <c r="K82" s="11"/>
      <c r="L82" s="14" t="e">
        <f t="shared" si="4"/>
        <v>#DIV/0!</v>
      </c>
    </row>
    <row r="83" spans="1:13" ht="17.25" customHeight="1" x14ac:dyDescent="0.6">
      <c r="D83" s="12"/>
      <c r="E83" s="12"/>
      <c r="F83" s="12"/>
      <c r="G83" s="12"/>
      <c r="H83" s="12"/>
      <c r="I83" s="12"/>
      <c r="J83" s="11" t="s">
        <v>43</v>
      </c>
      <c r="K83" s="11"/>
      <c r="L83" s="14" t="e">
        <f t="shared" si="4"/>
        <v>#DIV/0!</v>
      </c>
    </row>
    <row r="84" spans="1:13" ht="17.25" customHeight="1" x14ac:dyDescent="0.6">
      <c r="D84" s="12"/>
      <c r="E84" s="12"/>
      <c r="F84" s="12"/>
      <c r="G84" s="12"/>
      <c r="H84" s="12"/>
      <c r="I84" s="12"/>
      <c r="J84" s="11" t="s">
        <v>44</v>
      </c>
      <c r="K84" s="11"/>
      <c r="L84" s="14" t="e">
        <f t="shared" si="4"/>
        <v>#DIV/0!</v>
      </c>
    </row>
    <row r="85" spans="1:13" ht="17.25" customHeight="1" x14ac:dyDescent="0.6">
      <c r="D85" s="12"/>
      <c r="E85" s="12"/>
      <c r="F85" s="12"/>
      <c r="G85" s="12"/>
      <c r="H85" s="12"/>
      <c r="I85" s="12"/>
      <c r="J85" s="11" t="s">
        <v>31</v>
      </c>
      <c r="K85" s="11">
        <f>SUM(K77:K84)</f>
        <v>0</v>
      </c>
    </row>
    <row r="86" spans="1:13" ht="17.25" customHeight="1" x14ac:dyDescent="0.6">
      <c r="A86" s="265" t="s">
        <v>0</v>
      </c>
      <c r="B86" s="1">
        <f>M76</f>
        <v>6344961744.3928823</v>
      </c>
      <c r="D86" s="12"/>
      <c r="E86" s="12"/>
      <c r="F86" s="12"/>
      <c r="G86" s="12"/>
      <c r="H86" s="12"/>
      <c r="I86" s="12"/>
      <c r="J86" s="11"/>
      <c r="K86" s="11"/>
    </row>
    <row r="87" spans="1:13" ht="17.25" customHeight="1" x14ac:dyDescent="0.6">
      <c r="D87" s="12"/>
      <c r="E87" s="12"/>
      <c r="F87" s="12"/>
      <c r="G87" s="12"/>
      <c r="H87" s="12"/>
      <c r="I87" s="12"/>
      <c r="J87" s="11"/>
      <c r="K87" s="11"/>
    </row>
    <row r="88" spans="1:13" ht="17.25" customHeight="1" x14ac:dyDescent="0.6">
      <c r="A88" s="303" t="s">
        <v>48</v>
      </c>
      <c r="B88" s="304" t="s">
        <v>2</v>
      </c>
      <c r="C88" s="304" t="s">
        <v>3</v>
      </c>
      <c r="D88" s="304" t="s">
        <v>4</v>
      </c>
      <c r="E88" s="304" t="s">
        <v>5</v>
      </c>
      <c r="F88" s="304" t="s">
        <v>6</v>
      </c>
      <c r="G88" s="304" t="s">
        <v>7</v>
      </c>
      <c r="H88" s="304" t="s">
        <v>8</v>
      </c>
      <c r="I88" s="304" t="s">
        <v>9</v>
      </c>
      <c r="J88" s="304" t="s">
        <v>10</v>
      </c>
      <c r="K88" s="304" t="s">
        <v>11</v>
      </c>
      <c r="L88" s="304" t="s">
        <v>12</v>
      </c>
      <c r="M88" s="305" t="s">
        <v>13</v>
      </c>
    </row>
    <row r="89" spans="1:13" ht="17.25" customHeight="1" x14ac:dyDescent="0.6">
      <c r="A89" s="306" t="s">
        <v>14</v>
      </c>
      <c r="B89" s="302">
        <v>18620699</v>
      </c>
      <c r="C89" s="302">
        <v>18939029</v>
      </c>
      <c r="D89" s="302">
        <v>16505507</v>
      </c>
      <c r="E89" s="302">
        <v>11207638</v>
      </c>
      <c r="F89" s="302">
        <v>11454661</v>
      </c>
      <c r="G89" s="302">
        <v>14079937</v>
      </c>
      <c r="H89" s="302">
        <v>23257362</v>
      </c>
      <c r="I89" s="302">
        <v>30154458</v>
      </c>
      <c r="J89" s="302">
        <v>14381646</v>
      </c>
      <c r="K89" s="302">
        <v>30719024</v>
      </c>
      <c r="L89" s="302">
        <v>22511676</v>
      </c>
      <c r="M89" s="302">
        <v>32906124</v>
      </c>
    </row>
    <row r="90" spans="1:13" ht="17.25" customHeight="1" x14ac:dyDescent="0.6">
      <c r="A90" s="7" t="s">
        <v>15</v>
      </c>
      <c r="B90" s="8">
        <v>500000</v>
      </c>
      <c r="C90" s="8">
        <v>500000</v>
      </c>
      <c r="D90" s="8">
        <v>500000</v>
      </c>
      <c r="E90" s="8">
        <v>500000</v>
      </c>
      <c r="F90" s="8">
        <v>500000</v>
      </c>
      <c r="G90" s="8">
        <v>500000</v>
      </c>
      <c r="H90" s="8">
        <v>500000</v>
      </c>
      <c r="I90" s="8">
        <v>500000</v>
      </c>
      <c r="J90" s="8">
        <v>500000</v>
      </c>
      <c r="K90" s="8">
        <v>500000</v>
      </c>
      <c r="L90" s="8">
        <v>500000</v>
      </c>
      <c r="M90" s="8">
        <v>500000</v>
      </c>
    </row>
    <row r="91" spans="1:13" ht="17.25" customHeight="1" x14ac:dyDescent="0.6">
      <c r="A91" s="267" t="s">
        <v>16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1:13" ht="17.25" customHeight="1" x14ac:dyDescent="0.6">
      <c r="A92" s="268" t="s">
        <v>17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1:13" ht="17.25" customHeight="1" x14ac:dyDescent="0.6">
      <c r="A93" s="9" t="s">
        <v>18</v>
      </c>
      <c r="B93" s="10" t="s">
        <v>19</v>
      </c>
      <c r="C93" s="10">
        <f>SUM(B89:M89)</f>
        <v>244737761</v>
      </c>
      <c r="D93" s="10" t="s">
        <v>15</v>
      </c>
      <c r="E93" s="10">
        <f>SUM(B90:M90)</f>
        <v>6000000</v>
      </c>
      <c r="F93" s="10" t="s">
        <v>20</v>
      </c>
      <c r="G93" s="10">
        <f>SUM(B92:M92)</f>
        <v>0</v>
      </c>
      <c r="H93" s="10" t="s">
        <v>21</v>
      </c>
      <c r="I93" s="10">
        <f>C93+E93-G93</f>
        <v>250737761</v>
      </c>
      <c r="J93" s="10" t="s">
        <v>22</v>
      </c>
      <c r="K93" s="10">
        <f>SUM(B91:M91)</f>
        <v>0</v>
      </c>
      <c r="L93" s="10" t="s">
        <v>23</v>
      </c>
      <c r="M93" s="10"/>
    </row>
    <row r="94" spans="1:13" ht="17.25" customHeight="1" x14ac:dyDescent="0.6">
      <c r="B94" s="265" t="s">
        <v>265</v>
      </c>
      <c r="C94" s="266"/>
      <c r="D94" s="11" t="s">
        <v>40</v>
      </c>
      <c r="E94" s="11"/>
      <c r="F94" s="12"/>
      <c r="G94" s="13">
        <f>G93/C93</f>
        <v>0</v>
      </c>
      <c r="H94" s="12"/>
      <c r="I94" s="12"/>
      <c r="J94" s="11" t="s">
        <v>34</v>
      </c>
      <c r="K94" s="11"/>
      <c r="L94" s="14" t="e">
        <f>K94/$K$93</f>
        <v>#DIV/0!</v>
      </c>
    </row>
    <row r="95" spans="1:13" ht="17.25" customHeight="1" x14ac:dyDescent="0.6">
      <c r="B95" s="265" t="s">
        <v>264</v>
      </c>
      <c r="C95" s="266"/>
      <c r="D95" s="11" t="s">
        <v>41</v>
      </c>
      <c r="E95" s="11"/>
      <c r="F95" s="15" t="s">
        <v>27</v>
      </c>
      <c r="G95" s="16">
        <f>C93-G93</f>
        <v>244737761</v>
      </c>
      <c r="H95" s="12"/>
      <c r="I95" s="12"/>
      <c r="J95" s="11" t="s">
        <v>35</v>
      </c>
      <c r="K95" s="11"/>
      <c r="L95" s="14" t="e">
        <f t="shared" ref="L95:L101" si="5">K95/$K$93</f>
        <v>#DIV/0!</v>
      </c>
    </row>
    <row r="96" spans="1:13" ht="17.25" customHeight="1" x14ac:dyDescent="0.6">
      <c r="B96" s="12" t="s">
        <v>266</v>
      </c>
      <c r="C96" s="269"/>
      <c r="D96" s="19" t="s">
        <v>47</v>
      </c>
      <c r="E96" s="19"/>
      <c r="F96" s="12"/>
      <c r="G96" s="12"/>
      <c r="H96" s="12"/>
      <c r="I96" s="12"/>
      <c r="J96" s="11" t="s">
        <v>36</v>
      </c>
      <c r="K96" s="11"/>
      <c r="L96" s="14" t="e">
        <f t="shared" si="5"/>
        <v>#DIV/0!</v>
      </c>
    </row>
    <row r="97" spans="2:12" ht="17.25" customHeight="1" x14ac:dyDescent="0.6">
      <c r="B97" s="270" t="s">
        <v>267</v>
      </c>
      <c r="C97" s="272"/>
      <c r="D97" s="11" t="s">
        <v>49</v>
      </c>
      <c r="E97" s="11"/>
      <c r="F97" s="12"/>
      <c r="G97" s="12"/>
      <c r="H97" s="12"/>
      <c r="I97" s="12"/>
      <c r="J97" s="11" t="s">
        <v>37</v>
      </c>
      <c r="K97" s="11"/>
      <c r="L97" s="14" t="e">
        <f t="shared" si="5"/>
        <v>#DIV/0!</v>
      </c>
    </row>
    <row r="98" spans="2:12" ht="17.25" customHeight="1" x14ac:dyDescent="0.6">
      <c r="B98" s="265" t="s">
        <v>268</v>
      </c>
      <c r="C98" s="228"/>
      <c r="D98" s="12"/>
      <c r="E98" s="12"/>
      <c r="F98" s="12"/>
      <c r="G98" s="12"/>
      <c r="H98" s="12"/>
      <c r="I98" s="12"/>
      <c r="J98" s="11" t="s">
        <v>38</v>
      </c>
      <c r="K98" s="11"/>
      <c r="L98" s="14" t="e">
        <f t="shared" si="5"/>
        <v>#DIV/0!</v>
      </c>
    </row>
    <row r="99" spans="2:12" ht="17.25" customHeight="1" x14ac:dyDescent="0.6">
      <c r="B99" s="265" t="s">
        <v>269</v>
      </c>
      <c r="C99" s="18"/>
      <c r="D99" s="12"/>
      <c r="E99" s="12"/>
      <c r="F99" s="12"/>
      <c r="G99" s="12"/>
      <c r="H99" s="12"/>
      <c r="I99" s="12"/>
      <c r="J99" s="11" t="s">
        <v>28</v>
      </c>
      <c r="K99" s="11"/>
      <c r="L99" s="14" t="e">
        <f t="shared" si="5"/>
        <v>#DIV/0!</v>
      </c>
    </row>
    <row r="100" spans="2:12" ht="17.25" customHeight="1" x14ac:dyDescent="0.6">
      <c r="B100" s="265" t="s">
        <v>270</v>
      </c>
      <c r="C100" s="18"/>
      <c r="D100" s="12"/>
      <c r="E100" s="12"/>
      <c r="F100" s="12"/>
      <c r="G100" s="12"/>
      <c r="H100" s="12"/>
      <c r="I100" s="12"/>
      <c r="J100" s="11" t="s">
        <v>43</v>
      </c>
      <c r="K100" s="11"/>
      <c r="L100" s="14" t="e">
        <f t="shared" si="5"/>
        <v>#DIV/0!</v>
      </c>
    </row>
    <row r="101" spans="2:12" ht="17.25" customHeight="1" x14ac:dyDescent="0.6">
      <c r="B101" s="270" t="s">
        <v>271</v>
      </c>
      <c r="C101" s="271"/>
      <c r="D101" s="12"/>
      <c r="E101" s="12"/>
      <c r="F101" s="12"/>
      <c r="G101" s="12"/>
      <c r="H101" s="12"/>
      <c r="I101" s="12"/>
      <c r="J101" s="11" t="s">
        <v>44</v>
      </c>
      <c r="K101" s="11"/>
      <c r="L101" s="14" t="e">
        <f t="shared" si="5"/>
        <v>#DIV/0!</v>
      </c>
    </row>
    <row r="102" spans="2:12" ht="17.25" customHeight="1" x14ac:dyDescent="0.6">
      <c r="B102" s="265" t="s">
        <v>263</v>
      </c>
      <c r="C102" s="234"/>
      <c r="D102" s="12"/>
      <c r="E102" s="12"/>
      <c r="F102" s="12"/>
      <c r="G102" s="12"/>
      <c r="H102" s="12"/>
      <c r="I102" s="12"/>
      <c r="J102" s="11" t="s">
        <v>31</v>
      </c>
      <c r="K102" s="11"/>
    </row>
    <row r="103" spans="2:12" ht="17.25" customHeight="1" x14ac:dyDescent="0.6">
      <c r="B103" s="270" t="s">
        <v>272</v>
      </c>
      <c r="C103" s="272"/>
    </row>
  </sheetData>
  <phoneticPr fontId="2" type="noConversion"/>
  <hyperlinks>
    <hyperlink ref="A7" location="'2020년-통장'!A1" display="외상대 결재" xr:uid="{4D0DFC55-419C-46E3-9C15-49ADE9063DA7}"/>
    <hyperlink ref="A24" location="'2021년-통장'!A1" display="외상대 결재" xr:uid="{9B1BF30F-8BEB-4A7B-8C00-AA71F689357F}"/>
    <hyperlink ref="A41" location="'2022년-통장'!A1" display="외상대 결재" xr:uid="{65DEF9F3-32F7-4DB7-BE53-344C9092DEF9}"/>
    <hyperlink ref="A58" location="'2023년-통장'!A1" display="외상대 결재" xr:uid="{BED37439-7401-4822-B90B-743AB97B449E}"/>
    <hyperlink ref="A75" location="'2024년-통장'!A1" display="외상대 결재" xr:uid="{8D2092C1-E3A9-4466-98CF-6768D442A9DA}"/>
    <hyperlink ref="A92" location="'2025년-통장'!A1" display="외상대 결재" xr:uid="{33B719A0-1499-4D1F-AE2C-6B30CE21D114}"/>
    <hyperlink ref="A6" location="'CASH FLOW-2020년'!A1" display="비용결재" xr:uid="{F855DE9B-C28F-46FF-B969-5AF143FAF201}"/>
    <hyperlink ref="A23" location="'CASH FLOW-2021년'!A1" display="비용결재" xr:uid="{4BBD2662-21C6-4E9C-90EE-8E8076CAE946}"/>
    <hyperlink ref="A40" location="'CASH FLOW-2022년'!A1" display="비용결재" xr:uid="{319D1F10-BB22-4860-B3BB-67F4457CB34A}"/>
    <hyperlink ref="A57" location="'CASH FLOW-2023년'!A1" display="비용결재" xr:uid="{80DEDA60-91FF-4CE5-BB6D-FD20B904A7DD}"/>
    <hyperlink ref="A74" location="'2024년-통장'!A1" display="비용결재" xr:uid="{65C7D0A9-5ED1-49DF-897E-194D4F4C0EC9}"/>
    <hyperlink ref="A91" location="'CASH FLOW-2025년'!A1" display="비용결재" xr:uid="{F9D3615B-D08C-468B-A068-76211375DEC6}"/>
  </hyperlinks>
  <pageMargins left="3.937007874015748E-2" right="0" top="0.74803149606299213" bottom="0.74803149606299213" header="0.31496062992125984" footer="0.31496062992125984"/>
  <pageSetup paperSize="9" scale="8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EEA5-720E-4585-A9DE-DFF5C4286166}">
  <sheetPr codeName="Sheet2">
    <tabColor theme="3" tint="0.89999084444715716"/>
  </sheetPr>
  <dimension ref="A1:H2188"/>
  <sheetViews>
    <sheetView zoomScale="150" zoomScaleNormal="90" zoomScaleSheetLayoutView="75" workbookViewId="0">
      <pane xSplit="4" ySplit="2" topLeftCell="E1206" activePane="bottomRight" state="frozen"/>
      <selection activeCell="D1138" sqref="D1138"/>
      <selection pane="topRight" activeCell="D1138" sqref="D1138"/>
      <selection pane="bottomLeft" activeCell="D1138" sqref="D1138"/>
      <selection pane="bottomRight" activeCell="E7" sqref="E7"/>
    </sheetView>
  </sheetViews>
  <sheetFormatPr defaultColWidth="9" defaultRowHeight="16.899999999999999" x14ac:dyDescent="0.6"/>
  <cols>
    <col min="1" max="1" width="17.6875" style="20" bestFit="1" customWidth="1"/>
    <col min="2" max="2" width="5.3125" style="21" customWidth="1"/>
    <col min="3" max="3" width="14.1875" style="22" customWidth="1"/>
    <col min="4" max="4" width="15.6875" style="22" bestFit="1" customWidth="1"/>
    <col min="5" max="5" width="36.8125" style="20" customWidth="1"/>
    <col min="6" max="6" width="16.1875" style="23" customWidth="1"/>
    <col min="7" max="7" width="9" style="23"/>
    <col min="8" max="8" width="27.5" style="23" customWidth="1"/>
    <col min="9" max="16384" width="9" style="21"/>
  </cols>
  <sheetData>
    <row r="1" spans="1:8" x14ac:dyDescent="0.6">
      <c r="A1" s="20" t="s">
        <v>50</v>
      </c>
    </row>
    <row r="2" spans="1:8" x14ac:dyDescent="0.6">
      <c r="A2" s="24" t="s">
        <v>51</v>
      </c>
      <c r="B2" s="24" t="s">
        <v>52</v>
      </c>
      <c r="C2" s="25" t="s">
        <v>53</v>
      </c>
      <c r="D2" s="25" t="s">
        <v>54</v>
      </c>
      <c r="E2" s="24" t="s">
        <v>55</v>
      </c>
      <c r="F2" s="26" t="s">
        <v>56</v>
      </c>
      <c r="G2" s="26" t="s">
        <v>55</v>
      </c>
      <c r="H2" s="23" t="s">
        <v>57</v>
      </c>
    </row>
    <row r="3" spans="1:8" ht="22.5" x14ac:dyDescent="0.6">
      <c r="A3" s="273">
        <v>43831.488194444442</v>
      </c>
      <c r="B3" s="27" t="s">
        <v>273</v>
      </c>
      <c r="C3" s="28">
        <v>3212293</v>
      </c>
      <c r="D3" s="28"/>
      <c r="E3" s="27" t="s">
        <v>274</v>
      </c>
      <c r="F3" s="27" t="s">
        <v>276</v>
      </c>
      <c r="G3" s="27" t="s">
        <v>248</v>
      </c>
      <c r="H3" s="29" t="s">
        <v>278</v>
      </c>
    </row>
    <row r="4" spans="1:8" ht="22.5" x14ac:dyDescent="0.6">
      <c r="A4" s="273">
        <v>43831.519444444442</v>
      </c>
      <c r="B4" s="27" t="s">
        <v>279</v>
      </c>
      <c r="C4" s="28">
        <v>1301919</v>
      </c>
      <c r="D4" s="28"/>
      <c r="E4" s="27" t="s">
        <v>274</v>
      </c>
      <c r="F4" s="27" t="s">
        <v>276</v>
      </c>
      <c r="G4" s="27" t="s">
        <v>248</v>
      </c>
      <c r="H4" s="29" t="s">
        <v>281</v>
      </c>
    </row>
    <row r="5" spans="1:8" ht="22.5" x14ac:dyDescent="0.6">
      <c r="A5" s="274">
        <v>43832.380555555559</v>
      </c>
      <c r="B5" s="27" t="s">
        <v>282</v>
      </c>
      <c r="C5" s="30">
        <v>2178494</v>
      </c>
      <c r="D5" s="30"/>
      <c r="E5" s="31" t="s">
        <v>274</v>
      </c>
      <c r="F5" s="29" t="s">
        <v>283</v>
      </c>
      <c r="G5" s="29" t="s">
        <v>284</v>
      </c>
      <c r="H5" s="29" t="s">
        <v>286</v>
      </c>
    </row>
    <row r="6" spans="1:8" ht="22.5" x14ac:dyDescent="0.6">
      <c r="A6" s="273">
        <v>43832.454861111109</v>
      </c>
      <c r="B6" s="27" t="s">
        <v>287</v>
      </c>
      <c r="C6" s="28">
        <v>1683758</v>
      </c>
      <c r="D6" s="28"/>
      <c r="E6" s="27" t="s">
        <v>274</v>
      </c>
      <c r="F6" s="27" t="s">
        <v>283</v>
      </c>
      <c r="G6" s="29" t="s">
        <v>274</v>
      </c>
      <c r="H6" s="29" t="s">
        <v>289</v>
      </c>
    </row>
    <row r="7" spans="1:8" ht="22.5" x14ac:dyDescent="0.6">
      <c r="A7" s="273">
        <v>43833.616666666669</v>
      </c>
      <c r="B7" s="27" t="s">
        <v>290</v>
      </c>
      <c r="C7" s="28"/>
      <c r="D7" s="28">
        <v>1168230</v>
      </c>
      <c r="E7" s="27" t="s">
        <v>291</v>
      </c>
      <c r="F7" s="27" t="s">
        <v>293</v>
      </c>
      <c r="G7" s="29" t="s">
        <v>291</v>
      </c>
      <c r="H7" s="29" t="s">
        <v>295</v>
      </c>
    </row>
    <row r="8" spans="1:8" ht="22.5" x14ac:dyDescent="0.6">
      <c r="A8" s="273">
        <v>43833.762499999997</v>
      </c>
      <c r="B8" s="27" t="s">
        <v>296</v>
      </c>
      <c r="C8" s="28">
        <v>3834194</v>
      </c>
      <c r="D8" s="28"/>
      <c r="E8" s="27" t="s">
        <v>274</v>
      </c>
      <c r="F8" s="27" t="s">
        <v>283</v>
      </c>
      <c r="G8" s="29" t="s">
        <v>274</v>
      </c>
      <c r="H8" s="29" t="s">
        <v>298</v>
      </c>
    </row>
    <row r="9" spans="1:8" ht="22.5" x14ac:dyDescent="0.6">
      <c r="A9" s="273">
        <v>43834.410416666666</v>
      </c>
      <c r="B9" s="27" t="s">
        <v>299</v>
      </c>
      <c r="C9" s="28">
        <v>1007200</v>
      </c>
      <c r="D9" s="28"/>
      <c r="E9" s="27" t="s">
        <v>274</v>
      </c>
      <c r="F9" s="27" t="s">
        <v>283</v>
      </c>
      <c r="G9" s="29" t="s">
        <v>274</v>
      </c>
      <c r="H9" s="29" t="s">
        <v>301</v>
      </c>
    </row>
    <row r="10" spans="1:8" ht="22.5" x14ac:dyDescent="0.6">
      <c r="A10" s="273">
        <v>43835.498611111114</v>
      </c>
      <c r="B10" s="27" t="s">
        <v>302</v>
      </c>
      <c r="C10" s="32">
        <v>1286233</v>
      </c>
      <c r="D10" s="28"/>
      <c r="E10" s="27" t="s">
        <v>274</v>
      </c>
      <c r="F10" s="33" t="s">
        <v>283</v>
      </c>
      <c r="G10" s="33" t="s">
        <v>274</v>
      </c>
      <c r="H10" s="33" t="s">
        <v>300</v>
      </c>
    </row>
    <row r="11" spans="1:8" ht="22.5" x14ac:dyDescent="0.6">
      <c r="A11" s="275">
        <v>43835.689583333333</v>
      </c>
      <c r="B11" s="27" t="s">
        <v>303</v>
      </c>
      <c r="C11" s="35">
        <v>2209962</v>
      </c>
      <c r="D11" s="35"/>
      <c r="E11" s="34" t="s">
        <v>274</v>
      </c>
      <c r="F11" s="27" t="s">
        <v>283</v>
      </c>
      <c r="G11" s="36" t="s">
        <v>274</v>
      </c>
      <c r="H11" s="36" t="s">
        <v>305</v>
      </c>
    </row>
    <row r="12" spans="1:8" ht="22.5" x14ac:dyDescent="0.6">
      <c r="A12" s="273">
        <v>43835.704861111109</v>
      </c>
      <c r="B12" s="27" t="s">
        <v>306</v>
      </c>
      <c r="C12" s="28"/>
      <c r="D12" s="28">
        <v>1388835</v>
      </c>
      <c r="E12" s="27" t="s">
        <v>71</v>
      </c>
      <c r="F12" s="27" t="s">
        <v>293</v>
      </c>
      <c r="G12" s="29" t="s">
        <v>71</v>
      </c>
      <c r="H12" s="29" t="s">
        <v>308</v>
      </c>
    </row>
    <row r="13" spans="1:8" ht="22.5" x14ac:dyDescent="0.6">
      <c r="A13" s="276">
        <v>43836.504166666666</v>
      </c>
      <c r="B13" s="27" t="s">
        <v>309</v>
      </c>
      <c r="C13" s="37">
        <v>2496469</v>
      </c>
      <c r="D13" s="37"/>
      <c r="E13" s="38" t="s">
        <v>274</v>
      </c>
      <c r="F13" s="27" t="s">
        <v>276</v>
      </c>
      <c r="G13" s="29" t="s">
        <v>274</v>
      </c>
      <c r="H13" s="29" t="s">
        <v>310</v>
      </c>
    </row>
    <row r="14" spans="1:8" ht="22.5" x14ac:dyDescent="0.6">
      <c r="A14" s="276">
        <v>43836.56527777778</v>
      </c>
      <c r="B14" s="27" t="s">
        <v>311</v>
      </c>
      <c r="C14" s="37"/>
      <c r="D14" s="37">
        <v>751686</v>
      </c>
      <c r="E14" s="38" t="s">
        <v>312</v>
      </c>
      <c r="F14" s="27" t="s">
        <v>313</v>
      </c>
      <c r="G14" s="29" t="s">
        <v>312</v>
      </c>
      <c r="H14" s="29" t="s">
        <v>314</v>
      </c>
    </row>
    <row r="15" spans="1:8" ht="22.5" x14ac:dyDescent="0.6">
      <c r="A15" s="276">
        <v>43836.570833333331</v>
      </c>
      <c r="B15" s="27" t="s">
        <v>315</v>
      </c>
      <c r="C15" s="37">
        <v>3199638</v>
      </c>
      <c r="D15" s="37"/>
      <c r="E15" s="38" t="s">
        <v>274</v>
      </c>
      <c r="F15" s="33" t="s">
        <v>275</v>
      </c>
      <c r="G15" s="33" t="s">
        <v>274</v>
      </c>
      <c r="H15" s="33" t="s">
        <v>316</v>
      </c>
    </row>
    <row r="16" spans="1:8" ht="22.5" x14ac:dyDescent="0.6">
      <c r="A16" s="277">
        <v>43836.661111111112</v>
      </c>
      <c r="B16" s="27" t="s">
        <v>317</v>
      </c>
      <c r="C16" s="39">
        <v>4471865</v>
      </c>
      <c r="D16" s="39"/>
      <c r="E16" s="38" t="s">
        <v>274</v>
      </c>
      <c r="F16" s="27" t="s">
        <v>276</v>
      </c>
      <c r="G16" s="29" t="s">
        <v>274</v>
      </c>
      <c r="H16" s="29" t="s">
        <v>318</v>
      </c>
    </row>
    <row r="17" spans="1:8" ht="22.5" x14ac:dyDescent="0.6">
      <c r="A17" s="277">
        <v>43836.711111111108</v>
      </c>
      <c r="B17" s="27" t="s">
        <v>319</v>
      </c>
      <c r="C17" s="39">
        <v>3315640</v>
      </c>
      <c r="D17" s="39"/>
      <c r="E17" s="38" t="s">
        <v>274</v>
      </c>
      <c r="F17" s="27" t="s">
        <v>276</v>
      </c>
      <c r="G17" s="29" t="s">
        <v>274</v>
      </c>
      <c r="H17" s="29" t="s">
        <v>320</v>
      </c>
    </row>
    <row r="18" spans="1:8" ht="22.5" x14ac:dyDescent="0.6">
      <c r="A18" s="273">
        <v>43836.726388888892</v>
      </c>
      <c r="B18" s="27" t="s">
        <v>321</v>
      </c>
      <c r="C18" s="28"/>
      <c r="D18" s="28">
        <v>1331331</v>
      </c>
      <c r="E18" s="27" t="s">
        <v>312</v>
      </c>
      <c r="F18" s="27" t="s">
        <v>313</v>
      </c>
      <c r="G18" s="29" t="s">
        <v>312</v>
      </c>
      <c r="H18" s="29" t="s">
        <v>322</v>
      </c>
    </row>
    <row r="19" spans="1:8" ht="22.5" x14ac:dyDescent="0.6">
      <c r="A19" s="273">
        <v>43836.730555555558</v>
      </c>
      <c r="B19" s="27" t="s">
        <v>323</v>
      </c>
      <c r="C19" s="28"/>
      <c r="D19" s="28">
        <v>1328545</v>
      </c>
      <c r="E19" s="27" t="s">
        <v>59</v>
      </c>
      <c r="F19" s="27" t="s">
        <v>313</v>
      </c>
      <c r="G19" s="29" t="s">
        <v>59</v>
      </c>
      <c r="H19" s="29" t="s">
        <v>324</v>
      </c>
    </row>
    <row r="20" spans="1:8" ht="22.5" x14ac:dyDescent="0.6">
      <c r="A20" s="273">
        <v>43837.711805555555</v>
      </c>
      <c r="B20" s="27" t="s">
        <v>325</v>
      </c>
      <c r="C20" s="28">
        <v>2845792</v>
      </c>
      <c r="D20" s="28"/>
      <c r="E20" s="27" t="s">
        <v>274</v>
      </c>
      <c r="F20" s="27" t="s">
        <v>276</v>
      </c>
      <c r="G20" s="29" t="s">
        <v>274</v>
      </c>
      <c r="H20" s="29" t="s">
        <v>326</v>
      </c>
    </row>
    <row r="21" spans="1:8" ht="22.5" x14ac:dyDescent="0.6">
      <c r="A21" s="273">
        <v>43838.412499999999</v>
      </c>
      <c r="B21" s="27" t="s">
        <v>327</v>
      </c>
      <c r="C21" s="28">
        <v>2700889</v>
      </c>
      <c r="D21" s="28"/>
      <c r="E21" s="27" t="s">
        <v>274</v>
      </c>
      <c r="F21" s="27" t="s">
        <v>276</v>
      </c>
      <c r="G21" s="29" t="s">
        <v>274</v>
      </c>
      <c r="H21" s="29" t="s">
        <v>328</v>
      </c>
    </row>
    <row r="22" spans="1:8" ht="22.5" x14ac:dyDescent="0.6">
      <c r="A22" s="273">
        <v>43838.65902777778</v>
      </c>
      <c r="B22" s="27" t="s">
        <v>329</v>
      </c>
      <c r="C22" s="28">
        <v>3790845</v>
      </c>
      <c r="D22" s="28"/>
      <c r="E22" s="27" t="s">
        <v>274</v>
      </c>
      <c r="F22" s="27" t="s">
        <v>276</v>
      </c>
      <c r="G22" s="29" t="s">
        <v>274</v>
      </c>
      <c r="H22" s="29" t="s">
        <v>330</v>
      </c>
    </row>
    <row r="23" spans="1:8" ht="22.5" x14ac:dyDescent="0.6">
      <c r="A23" s="273">
        <v>43840.440972222219</v>
      </c>
      <c r="B23" s="27" t="s">
        <v>331</v>
      </c>
      <c r="C23" s="28">
        <v>627273</v>
      </c>
      <c r="D23" s="28"/>
      <c r="E23" s="27" t="s">
        <v>274</v>
      </c>
      <c r="F23" s="27" t="s">
        <v>283</v>
      </c>
      <c r="G23" s="29" t="s">
        <v>274</v>
      </c>
      <c r="H23" s="29" t="s">
        <v>333</v>
      </c>
    </row>
    <row r="24" spans="1:8" ht="22.5" x14ac:dyDescent="0.6">
      <c r="A24" s="273">
        <v>43840.503472222219</v>
      </c>
      <c r="B24" s="27" t="s">
        <v>334</v>
      </c>
      <c r="C24" s="28">
        <v>3328879</v>
      </c>
      <c r="D24" s="28"/>
      <c r="E24" s="27" t="s">
        <v>274</v>
      </c>
      <c r="F24" s="33" t="s">
        <v>275</v>
      </c>
      <c r="G24" s="33" t="s">
        <v>274</v>
      </c>
      <c r="H24" s="33" t="s">
        <v>335</v>
      </c>
    </row>
    <row r="25" spans="1:8" ht="22.5" x14ac:dyDescent="0.6">
      <c r="A25" s="273">
        <v>43840.789583333331</v>
      </c>
      <c r="B25" s="27" t="s">
        <v>336</v>
      </c>
      <c r="C25" s="28"/>
      <c r="D25" s="28">
        <v>150300</v>
      </c>
      <c r="E25" s="27" t="s">
        <v>59</v>
      </c>
      <c r="F25" s="27" t="s">
        <v>293</v>
      </c>
      <c r="G25" s="29" t="s">
        <v>59</v>
      </c>
      <c r="H25" s="29" t="s">
        <v>338</v>
      </c>
    </row>
    <row r="26" spans="1:8" ht="22.5" x14ac:dyDescent="0.6">
      <c r="A26" s="273">
        <v>43841.531944444447</v>
      </c>
      <c r="B26" s="27" t="s">
        <v>339</v>
      </c>
      <c r="C26" s="28">
        <v>2452911</v>
      </c>
      <c r="D26" s="28"/>
      <c r="E26" s="27" t="s">
        <v>274</v>
      </c>
      <c r="F26" s="27" t="s">
        <v>276</v>
      </c>
      <c r="G26" s="27" t="s">
        <v>274</v>
      </c>
      <c r="H26" s="29" t="s">
        <v>340</v>
      </c>
    </row>
    <row r="27" spans="1:8" ht="22.5" x14ac:dyDescent="0.6">
      <c r="A27" s="273">
        <v>43841.566666666666</v>
      </c>
      <c r="B27" s="27" t="s">
        <v>341</v>
      </c>
      <c r="C27" s="28"/>
      <c r="D27" s="28">
        <v>797430</v>
      </c>
      <c r="E27" s="27" t="s">
        <v>342</v>
      </c>
      <c r="F27" s="27" t="s">
        <v>313</v>
      </c>
      <c r="G27" s="29" t="s">
        <v>343</v>
      </c>
      <c r="H27" s="40" t="s">
        <v>345</v>
      </c>
    </row>
    <row r="28" spans="1:8" ht="22.5" x14ac:dyDescent="0.6">
      <c r="A28" s="273">
        <v>43841.675000000003</v>
      </c>
      <c r="B28" s="27" t="s">
        <v>346</v>
      </c>
      <c r="C28" s="32"/>
      <c r="D28" s="28">
        <v>1660288</v>
      </c>
      <c r="E28" s="27" t="s">
        <v>71</v>
      </c>
      <c r="F28" s="33" t="s">
        <v>293</v>
      </c>
      <c r="G28" s="33" t="s">
        <v>71</v>
      </c>
      <c r="H28" s="33" t="s">
        <v>344</v>
      </c>
    </row>
    <row r="29" spans="1:8" ht="22.5" x14ac:dyDescent="0.6">
      <c r="A29" s="273">
        <v>43842.488194444442</v>
      </c>
      <c r="B29" s="27" t="s">
        <v>347</v>
      </c>
      <c r="C29" s="28">
        <v>4344351</v>
      </c>
      <c r="D29" s="28"/>
      <c r="E29" s="27" t="s">
        <v>274</v>
      </c>
      <c r="F29" s="27" t="s">
        <v>276</v>
      </c>
      <c r="G29" s="29" t="s">
        <v>274</v>
      </c>
      <c r="H29" s="29" t="s">
        <v>328</v>
      </c>
    </row>
    <row r="30" spans="1:8" ht="22.5" x14ac:dyDescent="0.6">
      <c r="A30" s="273">
        <v>43842.520833333336</v>
      </c>
      <c r="B30" s="27" t="s">
        <v>348</v>
      </c>
      <c r="C30" s="28">
        <v>4846484</v>
      </c>
      <c r="D30" s="28"/>
      <c r="E30" s="27" t="s">
        <v>274</v>
      </c>
      <c r="F30" s="27" t="s">
        <v>276</v>
      </c>
      <c r="G30" s="27" t="s">
        <v>248</v>
      </c>
      <c r="H30" s="29" t="s">
        <v>350</v>
      </c>
    </row>
    <row r="31" spans="1:8" ht="22.5" x14ac:dyDescent="0.6">
      <c r="A31" s="273">
        <v>43842.558333333334</v>
      </c>
      <c r="B31" s="27" t="s">
        <v>351</v>
      </c>
      <c r="C31" s="28">
        <v>4229884</v>
      </c>
      <c r="D31" s="28"/>
      <c r="E31" s="27" t="s">
        <v>274</v>
      </c>
      <c r="F31" s="27" t="s">
        <v>276</v>
      </c>
      <c r="G31" s="27" t="s">
        <v>248</v>
      </c>
      <c r="H31" s="29" t="s">
        <v>352</v>
      </c>
    </row>
    <row r="32" spans="1:8" ht="22.5" x14ac:dyDescent="0.6">
      <c r="A32" s="273">
        <v>43843.761111111111</v>
      </c>
      <c r="B32" s="27" t="s">
        <v>353</v>
      </c>
      <c r="C32" s="28">
        <v>3516423</v>
      </c>
      <c r="D32" s="28"/>
      <c r="E32" s="27" t="s">
        <v>274</v>
      </c>
      <c r="F32" s="27" t="s">
        <v>276</v>
      </c>
      <c r="G32" s="27" t="s">
        <v>248</v>
      </c>
      <c r="H32" s="29" t="s">
        <v>305</v>
      </c>
    </row>
    <row r="33" spans="1:8" ht="22.5" x14ac:dyDescent="0.6">
      <c r="A33" s="273">
        <v>43844.529166666667</v>
      </c>
      <c r="B33" s="27" t="s">
        <v>354</v>
      </c>
      <c r="C33" s="28">
        <v>3681713</v>
      </c>
      <c r="D33" s="28"/>
      <c r="E33" s="27" t="s">
        <v>274</v>
      </c>
      <c r="F33" s="27" t="s">
        <v>276</v>
      </c>
      <c r="G33" s="27" t="s">
        <v>248</v>
      </c>
      <c r="H33" s="29" t="s">
        <v>356</v>
      </c>
    </row>
    <row r="34" spans="1:8" ht="22.5" x14ac:dyDescent="0.6">
      <c r="A34" s="273">
        <v>43844.542361111111</v>
      </c>
      <c r="B34" s="27" t="s">
        <v>357</v>
      </c>
      <c r="C34" s="28"/>
      <c r="D34" s="28">
        <v>1971898</v>
      </c>
      <c r="E34" s="27" t="s">
        <v>59</v>
      </c>
      <c r="F34" s="27" t="s">
        <v>313</v>
      </c>
      <c r="G34" s="29" t="s">
        <v>59</v>
      </c>
      <c r="H34" s="29" t="s">
        <v>358</v>
      </c>
    </row>
    <row r="35" spans="1:8" ht="22.5" x14ac:dyDescent="0.6">
      <c r="A35" s="273">
        <v>43844.605555555558</v>
      </c>
      <c r="B35" s="27" t="s">
        <v>359</v>
      </c>
      <c r="C35" s="28"/>
      <c r="D35" s="28">
        <v>802010</v>
      </c>
      <c r="E35" s="27" t="s">
        <v>71</v>
      </c>
      <c r="F35" s="27" t="s">
        <v>313</v>
      </c>
      <c r="G35" s="29" t="s">
        <v>71</v>
      </c>
      <c r="H35" s="29" t="s">
        <v>360</v>
      </c>
    </row>
    <row r="36" spans="1:8" ht="22.5" x14ac:dyDescent="0.6">
      <c r="A36" s="273">
        <v>43844.660416666666</v>
      </c>
      <c r="B36" s="27" t="s">
        <v>361</v>
      </c>
      <c r="C36" s="28"/>
      <c r="D36" s="28">
        <v>793529</v>
      </c>
      <c r="E36" s="27" t="s">
        <v>291</v>
      </c>
      <c r="F36" s="27" t="s">
        <v>313</v>
      </c>
      <c r="G36" s="27" t="s">
        <v>362</v>
      </c>
      <c r="H36" s="29" t="s">
        <v>364</v>
      </c>
    </row>
    <row r="37" spans="1:8" ht="22.5" x14ac:dyDescent="0.6">
      <c r="A37" s="273">
        <v>43844.780555555553</v>
      </c>
      <c r="B37" s="27" t="s">
        <v>365</v>
      </c>
      <c r="C37" s="28">
        <v>4799535</v>
      </c>
      <c r="D37" s="28"/>
      <c r="E37" s="27" t="s">
        <v>274</v>
      </c>
      <c r="F37" s="29" t="s">
        <v>276</v>
      </c>
      <c r="G37" s="29" t="s">
        <v>248</v>
      </c>
      <c r="H37" s="29" t="s">
        <v>366</v>
      </c>
    </row>
    <row r="38" spans="1:8" ht="22.5" x14ac:dyDescent="0.6">
      <c r="A38" s="273">
        <v>43845.538888888892</v>
      </c>
      <c r="B38" s="27" t="s">
        <v>367</v>
      </c>
      <c r="C38" s="32">
        <v>2215642</v>
      </c>
      <c r="D38" s="28"/>
      <c r="E38" s="27" t="s">
        <v>274</v>
      </c>
      <c r="F38" s="33" t="s">
        <v>283</v>
      </c>
      <c r="G38" s="33" t="s">
        <v>274</v>
      </c>
      <c r="H38" s="33" t="s">
        <v>285</v>
      </c>
    </row>
    <row r="39" spans="1:8" ht="22.5" x14ac:dyDescent="0.6">
      <c r="A39" s="273">
        <v>43845.664583333331</v>
      </c>
      <c r="B39" s="27" t="s">
        <v>368</v>
      </c>
      <c r="C39" s="28">
        <v>3128728</v>
      </c>
      <c r="D39" s="28"/>
      <c r="E39" s="27" t="s">
        <v>274</v>
      </c>
      <c r="F39" s="29" t="s">
        <v>276</v>
      </c>
      <c r="G39" s="29" t="s">
        <v>248</v>
      </c>
      <c r="H39" s="29" t="s">
        <v>370</v>
      </c>
    </row>
    <row r="40" spans="1:8" ht="22.5" x14ac:dyDescent="0.6">
      <c r="A40" s="273">
        <v>43845.691666666666</v>
      </c>
      <c r="B40" s="27" t="s">
        <v>371</v>
      </c>
      <c r="C40" s="32">
        <v>2318910</v>
      </c>
      <c r="D40" s="28"/>
      <c r="E40" s="27" t="s">
        <v>274</v>
      </c>
      <c r="F40" s="33" t="s">
        <v>283</v>
      </c>
      <c r="G40" s="33" t="s">
        <v>274</v>
      </c>
      <c r="H40" s="33" t="s">
        <v>372</v>
      </c>
    </row>
    <row r="41" spans="1:8" ht="22.5" x14ac:dyDescent="0.6">
      <c r="A41" s="273">
        <v>43846.473611111112</v>
      </c>
      <c r="B41" s="27" t="s">
        <v>373</v>
      </c>
      <c r="C41" s="28"/>
      <c r="D41" s="28">
        <v>1362249</v>
      </c>
      <c r="E41" s="27" t="s">
        <v>342</v>
      </c>
      <c r="F41" s="29" t="s">
        <v>313</v>
      </c>
      <c r="G41" s="29" t="s">
        <v>343</v>
      </c>
      <c r="H41" s="29" t="s">
        <v>374</v>
      </c>
    </row>
    <row r="42" spans="1:8" ht="22.5" x14ac:dyDescent="0.6">
      <c r="A42" s="273">
        <v>43846.666666666664</v>
      </c>
      <c r="B42" s="27" t="s">
        <v>375</v>
      </c>
      <c r="C42" s="28"/>
      <c r="D42" s="28">
        <v>1422000</v>
      </c>
      <c r="E42" s="27" t="s">
        <v>312</v>
      </c>
      <c r="F42" s="29" t="s">
        <v>313</v>
      </c>
      <c r="G42" s="29" t="s">
        <v>376</v>
      </c>
      <c r="H42" s="29" t="s">
        <v>377</v>
      </c>
    </row>
    <row r="43" spans="1:8" ht="22.5" x14ac:dyDescent="0.6">
      <c r="A43" s="273">
        <v>43847.656944444447</v>
      </c>
      <c r="B43" s="27" t="s">
        <v>378</v>
      </c>
      <c r="C43" s="28"/>
      <c r="D43" s="28">
        <v>724331</v>
      </c>
      <c r="E43" s="27" t="s">
        <v>291</v>
      </c>
      <c r="F43" s="29" t="s">
        <v>313</v>
      </c>
      <c r="G43" s="29" t="s">
        <v>362</v>
      </c>
      <c r="H43" s="29" t="s">
        <v>380</v>
      </c>
    </row>
    <row r="44" spans="1:8" ht="22.5" x14ac:dyDescent="0.6">
      <c r="A44" s="273">
        <v>43847.713194444441</v>
      </c>
      <c r="B44" s="27" t="s">
        <v>381</v>
      </c>
      <c r="C44" s="28">
        <v>4884403</v>
      </c>
      <c r="D44" s="28"/>
      <c r="E44" s="27" t="s">
        <v>274</v>
      </c>
      <c r="F44" s="27" t="s">
        <v>283</v>
      </c>
      <c r="G44" s="29" t="s">
        <v>274</v>
      </c>
      <c r="H44" s="29" t="s">
        <v>382</v>
      </c>
    </row>
    <row r="45" spans="1:8" ht="22.5" x14ac:dyDescent="0.6">
      <c r="A45" s="273">
        <v>43847.784722222219</v>
      </c>
      <c r="B45" s="27" t="s">
        <v>383</v>
      </c>
      <c r="C45" s="28">
        <v>1789464</v>
      </c>
      <c r="D45" s="28"/>
      <c r="E45" s="27" t="s">
        <v>274</v>
      </c>
      <c r="F45" s="29" t="s">
        <v>276</v>
      </c>
      <c r="G45" s="29" t="s">
        <v>248</v>
      </c>
      <c r="H45" s="29" t="s">
        <v>385</v>
      </c>
    </row>
    <row r="46" spans="1:8" ht="22.5" x14ac:dyDescent="0.6">
      <c r="A46" s="273">
        <v>43848.457638888889</v>
      </c>
      <c r="B46" s="27" t="s">
        <v>386</v>
      </c>
      <c r="C46" s="28">
        <v>3077233</v>
      </c>
      <c r="D46" s="28"/>
      <c r="E46" s="27" t="s">
        <v>274</v>
      </c>
      <c r="F46" s="33" t="s">
        <v>275</v>
      </c>
      <c r="G46" s="33" t="s">
        <v>274</v>
      </c>
      <c r="H46" s="33" t="s">
        <v>387</v>
      </c>
    </row>
    <row r="47" spans="1:8" ht="22.5" x14ac:dyDescent="0.6">
      <c r="A47" s="273">
        <v>43848.587500000001</v>
      </c>
      <c r="B47" s="27" t="s">
        <v>388</v>
      </c>
      <c r="C47" s="28"/>
      <c r="D47" s="28">
        <v>292423</v>
      </c>
      <c r="E47" s="27" t="s">
        <v>291</v>
      </c>
      <c r="F47" s="33" t="s">
        <v>292</v>
      </c>
      <c r="G47" s="33" t="s">
        <v>291</v>
      </c>
      <c r="H47" s="33" t="s">
        <v>389</v>
      </c>
    </row>
    <row r="48" spans="1:8" ht="22.5" x14ac:dyDescent="0.6">
      <c r="A48" s="278">
        <v>43849.540972222225</v>
      </c>
      <c r="B48" s="27" t="s">
        <v>390</v>
      </c>
      <c r="C48" s="41">
        <v>3832025</v>
      </c>
      <c r="D48" s="41"/>
      <c r="E48" s="42" t="s">
        <v>274</v>
      </c>
      <c r="F48" s="33" t="s">
        <v>275</v>
      </c>
      <c r="G48" s="33" t="s">
        <v>274</v>
      </c>
      <c r="H48" s="33" t="s">
        <v>391</v>
      </c>
    </row>
    <row r="49" spans="1:8" ht="22.5" x14ac:dyDescent="0.6">
      <c r="A49" s="279">
        <v>43849.632638888892</v>
      </c>
      <c r="B49" s="27" t="s">
        <v>392</v>
      </c>
      <c r="C49" s="30"/>
      <c r="D49" s="30">
        <v>1917382</v>
      </c>
      <c r="E49" s="42" t="s">
        <v>342</v>
      </c>
      <c r="F49" s="33" t="s">
        <v>292</v>
      </c>
      <c r="G49" s="33" t="s">
        <v>342</v>
      </c>
      <c r="H49" s="33" t="s">
        <v>393</v>
      </c>
    </row>
    <row r="50" spans="1:8" ht="22.5" x14ac:dyDescent="0.6">
      <c r="A50" s="273">
        <v>43849.780555555553</v>
      </c>
      <c r="B50" s="27" t="s">
        <v>394</v>
      </c>
      <c r="C50" s="28">
        <v>3596856</v>
      </c>
      <c r="D50" s="28"/>
      <c r="E50" s="27" t="s">
        <v>274</v>
      </c>
      <c r="F50" s="29" t="s">
        <v>276</v>
      </c>
      <c r="G50" s="29" t="s">
        <v>248</v>
      </c>
      <c r="H50" s="29" t="s">
        <v>395</v>
      </c>
    </row>
    <row r="51" spans="1:8" ht="22.5" x14ac:dyDescent="0.6">
      <c r="A51" s="273">
        <v>43850.789583333331</v>
      </c>
      <c r="B51" s="27" t="s">
        <v>396</v>
      </c>
      <c r="C51" s="28"/>
      <c r="D51" s="28">
        <v>133968</v>
      </c>
      <c r="E51" s="27" t="s">
        <v>342</v>
      </c>
      <c r="F51" s="29" t="s">
        <v>313</v>
      </c>
      <c r="G51" s="29" t="s">
        <v>343</v>
      </c>
      <c r="H51" s="29" t="s">
        <v>398</v>
      </c>
    </row>
    <row r="52" spans="1:8" ht="22.5" x14ac:dyDescent="0.6">
      <c r="A52" s="273">
        <v>43850.789583333331</v>
      </c>
      <c r="B52" s="27" t="s">
        <v>399</v>
      </c>
      <c r="C52" s="28"/>
      <c r="D52" s="28">
        <v>1156308</v>
      </c>
      <c r="E52" s="27" t="s">
        <v>291</v>
      </c>
      <c r="F52" s="29" t="s">
        <v>313</v>
      </c>
      <c r="G52" s="29" t="s">
        <v>291</v>
      </c>
      <c r="H52" s="29" t="s">
        <v>400</v>
      </c>
    </row>
    <row r="53" spans="1:8" ht="22.5" x14ac:dyDescent="0.6">
      <c r="A53" s="273">
        <v>43851.388888888891</v>
      </c>
      <c r="B53" s="27" t="s">
        <v>401</v>
      </c>
      <c r="C53" s="28"/>
      <c r="D53" s="28">
        <v>1875834</v>
      </c>
      <c r="E53" s="27" t="s">
        <v>59</v>
      </c>
      <c r="F53" s="29" t="s">
        <v>313</v>
      </c>
      <c r="G53" s="29" t="s">
        <v>59</v>
      </c>
      <c r="H53" s="29" t="s">
        <v>379</v>
      </c>
    </row>
    <row r="54" spans="1:8" ht="22.5" x14ac:dyDescent="0.6">
      <c r="A54" s="273">
        <v>43851.429861111108</v>
      </c>
      <c r="B54" s="27" t="s">
        <v>402</v>
      </c>
      <c r="C54" s="28">
        <v>3305951</v>
      </c>
      <c r="D54" s="28"/>
      <c r="E54" s="27" t="s">
        <v>274</v>
      </c>
      <c r="F54" s="29" t="s">
        <v>276</v>
      </c>
      <c r="G54" s="29" t="s">
        <v>274</v>
      </c>
      <c r="H54" s="29" t="s">
        <v>332</v>
      </c>
    </row>
    <row r="55" spans="1:8" ht="22.5" x14ac:dyDescent="0.6">
      <c r="A55" s="273">
        <v>43851.431944444441</v>
      </c>
      <c r="B55" s="27" t="s">
        <v>403</v>
      </c>
      <c r="C55" s="28"/>
      <c r="D55" s="28">
        <v>970026</v>
      </c>
      <c r="E55" s="27" t="s">
        <v>71</v>
      </c>
      <c r="F55" s="29" t="s">
        <v>313</v>
      </c>
      <c r="G55" s="29" t="s">
        <v>71</v>
      </c>
      <c r="H55" s="29" t="s">
        <v>404</v>
      </c>
    </row>
    <row r="56" spans="1:8" ht="22.5" x14ac:dyDescent="0.6">
      <c r="A56" s="273">
        <v>43852.574305555558</v>
      </c>
      <c r="B56" s="27" t="s">
        <v>405</v>
      </c>
      <c r="C56" s="28">
        <v>1236815</v>
      </c>
      <c r="D56" s="28"/>
      <c r="E56" s="27" t="s">
        <v>274</v>
      </c>
      <c r="F56" s="29" t="s">
        <v>276</v>
      </c>
      <c r="G56" s="29" t="s">
        <v>274</v>
      </c>
      <c r="H56" s="29" t="s">
        <v>406</v>
      </c>
    </row>
    <row r="57" spans="1:8" ht="22.5" x14ac:dyDescent="0.6">
      <c r="A57" s="273">
        <v>43852.684027777781</v>
      </c>
      <c r="B57" s="27" t="s">
        <v>407</v>
      </c>
      <c r="C57" s="28">
        <v>3776659</v>
      </c>
      <c r="D57" s="28"/>
      <c r="E57" s="27" t="s">
        <v>274</v>
      </c>
      <c r="F57" s="29" t="s">
        <v>276</v>
      </c>
      <c r="G57" s="29" t="s">
        <v>274</v>
      </c>
      <c r="H57" s="29" t="s">
        <v>408</v>
      </c>
    </row>
    <row r="58" spans="1:8" ht="22.5" x14ac:dyDescent="0.6">
      <c r="A58" s="273">
        <v>43853.436111111114</v>
      </c>
      <c r="B58" s="27" t="s">
        <v>409</v>
      </c>
      <c r="C58" s="28">
        <v>981144</v>
      </c>
      <c r="D58" s="28"/>
      <c r="E58" s="27" t="s">
        <v>274</v>
      </c>
      <c r="F58" s="29" t="s">
        <v>276</v>
      </c>
      <c r="G58" s="29" t="s">
        <v>274</v>
      </c>
      <c r="H58" s="29" t="s">
        <v>410</v>
      </c>
    </row>
    <row r="59" spans="1:8" ht="22.5" x14ac:dyDescent="0.6">
      <c r="A59" s="273">
        <v>43853.55972222222</v>
      </c>
      <c r="B59" s="27" t="s">
        <v>411</v>
      </c>
      <c r="C59" s="28"/>
      <c r="D59" s="28">
        <v>317699</v>
      </c>
      <c r="E59" s="27" t="s">
        <v>312</v>
      </c>
      <c r="F59" s="29" t="s">
        <v>313</v>
      </c>
      <c r="G59" s="29" t="s">
        <v>312</v>
      </c>
      <c r="H59" s="29" t="s">
        <v>412</v>
      </c>
    </row>
    <row r="60" spans="1:8" ht="22.5" x14ac:dyDescent="0.6">
      <c r="A60" s="273">
        <v>43854.505555555559</v>
      </c>
      <c r="B60" s="27" t="s">
        <v>413</v>
      </c>
      <c r="C60" s="28">
        <v>1007085</v>
      </c>
      <c r="D60" s="28"/>
      <c r="E60" s="27" t="s">
        <v>274</v>
      </c>
      <c r="F60" s="29" t="s">
        <v>276</v>
      </c>
      <c r="G60" s="29" t="s">
        <v>274</v>
      </c>
      <c r="H60" s="29" t="s">
        <v>414</v>
      </c>
    </row>
    <row r="61" spans="1:8" ht="22.5" x14ac:dyDescent="0.6">
      <c r="A61" s="273">
        <v>43854.744444444441</v>
      </c>
      <c r="B61" s="27" t="s">
        <v>415</v>
      </c>
      <c r="C61" s="28">
        <v>3572713</v>
      </c>
      <c r="D61" s="28"/>
      <c r="E61" s="27" t="s">
        <v>274</v>
      </c>
      <c r="F61" s="29" t="s">
        <v>276</v>
      </c>
      <c r="G61" s="29" t="s">
        <v>274</v>
      </c>
      <c r="H61" s="29" t="s">
        <v>416</v>
      </c>
    </row>
    <row r="62" spans="1:8" ht="22.5" x14ac:dyDescent="0.6">
      <c r="A62" s="273">
        <v>43855.686805555553</v>
      </c>
      <c r="B62" s="27" t="s">
        <v>417</v>
      </c>
      <c r="C62" s="28">
        <v>3735094</v>
      </c>
      <c r="D62" s="28"/>
      <c r="E62" s="27" t="s">
        <v>274</v>
      </c>
      <c r="F62" s="29" t="s">
        <v>276</v>
      </c>
      <c r="G62" s="29" t="s">
        <v>274</v>
      </c>
      <c r="H62" s="29" t="s">
        <v>326</v>
      </c>
    </row>
    <row r="63" spans="1:8" ht="22.5" x14ac:dyDescent="0.6">
      <c r="A63" s="273">
        <v>43856.720833333333</v>
      </c>
      <c r="B63" s="27" t="s">
        <v>418</v>
      </c>
      <c r="C63" s="28"/>
      <c r="D63" s="28">
        <v>1498106</v>
      </c>
      <c r="E63" s="27" t="s">
        <v>71</v>
      </c>
      <c r="F63" s="29" t="s">
        <v>313</v>
      </c>
      <c r="G63" s="29" t="s">
        <v>71</v>
      </c>
      <c r="H63" s="29" t="s">
        <v>344</v>
      </c>
    </row>
    <row r="64" spans="1:8" ht="22.5" x14ac:dyDescent="0.6">
      <c r="A64" s="273">
        <v>43856.746527777781</v>
      </c>
      <c r="B64" s="27" t="s">
        <v>419</v>
      </c>
      <c r="C64" s="28">
        <v>1506460</v>
      </c>
      <c r="D64" s="28"/>
      <c r="E64" s="27" t="s">
        <v>274</v>
      </c>
      <c r="F64" s="29" t="s">
        <v>276</v>
      </c>
      <c r="G64" s="29" t="s">
        <v>274</v>
      </c>
      <c r="H64" s="29" t="s">
        <v>420</v>
      </c>
    </row>
    <row r="65" spans="1:8" ht="22.5" x14ac:dyDescent="0.6">
      <c r="A65" s="273">
        <v>43857.390972222223</v>
      </c>
      <c r="B65" s="27" t="s">
        <v>421</v>
      </c>
      <c r="C65" s="28"/>
      <c r="D65" s="28">
        <v>428542</v>
      </c>
      <c r="E65" s="27" t="s">
        <v>71</v>
      </c>
      <c r="F65" s="29" t="s">
        <v>313</v>
      </c>
      <c r="G65" s="29" t="s">
        <v>71</v>
      </c>
      <c r="H65" s="29" t="s">
        <v>422</v>
      </c>
    </row>
    <row r="66" spans="1:8" ht="22.5" x14ac:dyDescent="0.6">
      <c r="A66" s="273">
        <v>43857.581944444442</v>
      </c>
      <c r="B66" s="27" t="s">
        <v>423</v>
      </c>
      <c r="C66" s="28"/>
      <c r="D66" s="28">
        <v>1948529</v>
      </c>
      <c r="E66" s="27" t="s">
        <v>312</v>
      </c>
      <c r="F66" s="29" t="s">
        <v>313</v>
      </c>
      <c r="G66" s="29" t="s">
        <v>312</v>
      </c>
      <c r="H66" s="29" t="s">
        <v>314</v>
      </c>
    </row>
    <row r="67" spans="1:8" ht="22.5" x14ac:dyDescent="0.6">
      <c r="A67" s="273">
        <v>43857.634722222225</v>
      </c>
      <c r="B67" s="27" t="s">
        <v>424</v>
      </c>
      <c r="C67" s="28">
        <v>1622631</v>
      </c>
      <c r="D67" s="28"/>
      <c r="E67" s="27" t="s">
        <v>274</v>
      </c>
      <c r="F67" s="29" t="s">
        <v>276</v>
      </c>
      <c r="G67" s="29" t="s">
        <v>274</v>
      </c>
      <c r="H67" s="29" t="s">
        <v>425</v>
      </c>
    </row>
    <row r="68" spans="1:8" ht="22.5" x14ac:dyDescent="0.6">
      <c r="A68" s="273">
        <v>43857.681250000001</v>
      </c>
      <c r="B68" s="27" t="s">
        <v>273</v>
      </c>
      <c r="C68" s="28">
        <v>2523183</v>
      </c>
      <c r="D68" s="28"/>
      <c r="E68" s="27" t="s">
        <v>274</v>
      </c>
      <c r="F68" s="29" t="s">
        <v>276</v>
      </c>
      <c r="G68" s="29" t="s">
        <v>274</v>
      </c>
      <c r="H68" s="29" t="s">
        <v>426</v>
      </c>
    </row>
    <row r="69" spans="1:8" ht="22.5" x14ac:dyDescent="0.6">
      <c r="A69" s="274">
        <v>43857.767361111109</v>
      </c>
      <c r="B69" s="27" t="s">
        <v>427</v>
      </c>
      <c r="C69" s="30">
        <v>3483732</v>
      </c>
      <c r="D69" s="30"/>
      <c r="E69" s="31" t="s">
        <v>274</v>
      </c>
      <c r="F69" s="29" t="s">
        <v>276</v>
      </c>
      <c r="G69" s="29" t="s">
        <v>274</v>
      </c>
      <c r="H69" s="29" t="s">
        <v>428</v>
      </c>
    </row>
    <row r="70" spans="1:8" ht="22.5" x14ac:dyDescent="0.6">
      <c r="A70" s="273">
        <v>43858.494444444441</v>
      </c>
      <c r="B70" s="27" t="s">
        <v>429</v>
      </c>
      <c r="C70" s="28"/>
      <c r="D70" s="28">
        <v>517229</v>
      </c>
      <c r="E70" s="27" t="s">
        <v>71</v>
      </c>
      <c r="F70" s="29" t="s">
        <v>313</v>
      </c>
      <c r="G70" s="29" t="s">
        <v>430</v>
      </c>
      <c r="H70" s="29" t="s">
        <v>337</v>
      </c>
    </row>
    <row r="71" spans="1:8" ht="22.5" x14ac:dyDescent="0.6">
      <c r="A71" s="273">
        <v>43858.664583333331</v>
      </c>
      <c r="B71" s="27" t="s">
        <v>431</v>
      </c>
      <c r="C71" s="28">
        <v>2715789</v>
      </c>
      <c r="D71" s="28"/>
      <c r="E71" s="27" t="s">
        <v>274</v>
      </c>
      <c r="F71" s="29" t="s">
        <v>276</v>
      </c>
      <c r="G71" s="29" t="s">
        <v>248</v>
      </c>
      <c r="H71" s="29" t="s">
        <v>432</v>
      </c>
    </row>
    <row r="72" spans="1:8" ht="22.5" x14ac:dyDescent="0.6">
      <c r="A72" s="273">
        <v>43858.785416666666</v>
      </c>
      <c r="B72" s="27" t="s">
        <v>433</v>
      </c>
      <c r="C72" s="28">
        <v>3935533</v>
      </c>
      <c r="D72" s="28"/>
      <c r="E72" s="27" t="s">
        <v>274</v>
      </c>
      <c r="F72" s="29" t="s">
        <v>276</v>
      </c>
      <c r="G72" s="29" t="s">
        <v>248</v>
      </c>
      <c r="H72" s="29" t="s">
        <v>434</v>
      </c>
    </row>
    <row r="73" spans="1:8" ht="22.5" x14ac:dyDescent="0.6">
      <c r="A73" s="273">
        <v>43862.436111111114</v>
      </c>
      <c r="B73" s="27" t="s">
        <v>435</v>
      </c>
      <c r="C73" s="28"/>
      <c r="D73" s="28">
        <v>183757</v>
      </c>
      <c r="E73" s="27" t="s">
        <v>342</v>
      </c>
      <c r="F73" s="29" t="s">
        <v>313</v>
      </c>
      <c r="G73" s="29" t="s">
        <v>343</v>
      </c>
      <c r="H73" s="29" t="s">
        <v>436</v>
      </c>
    </row>
    <row r="74" spans="1:8" ht="22.5" x14ac:dyDescent="0.6">
      <c r="A74" s="273">
        <v>43862.620833333334</v>
      </c>
      <c r="B74" s="27" t="s">
        <v>437</v>
      </c>
      <c r="C74" s="28"/>
      <c r="D74" s="28">
        <v>200776</v>
      </c>
      <c r="E74" s="27" t="s">
        <v>342</v>
      </c>
      <c r="F74" s="29" t="s">
        <v>313</v>
      </c>
      <c r="G74" s="29" t="s">
        <v>343</v>
      </c>
      <c r="H74" s="29" t="s">
        <v>404</v>
      </c>
    </row>
    <row r="75" spans="1:8" ht="22.5" x14ac:dyDescent="0.6">
      <c r="A75" s="273">
        <v>43862.746527777781</v>
      </c>
      <c r="B75" s="27" t="s">
        <v>438</v>
      </c>
      <c r="C75" s="28">
        <v>2271448</v>
      </c>
      <c r="D75" s="28"/>
      <c r="E75" s="27" t="s">
        <v>274</v>
      </c>
      <c r="F75" s="29" t="s">
        <v>276</v>
      </c>
      <c r="G75" s="29" t="s">
        <v>248</v>
      </c>
      <c r="H75" s="29" t="s">
        <v>439</v>
      </c>
    </row>
    <row r="76" spans="1:8" ht="22.5" x14ac:dyDescent="0.6">
      <c r="A76" s="273">
        <v>43863.555555555555</v>
      </c>
      <c r="B76" s="27" t="s">
        <v>440</v>
      </c>
      <c r="C76" s="28"/>
      <c r="D76" s="28">
        <v>1637584</v>
      </c>
      <c r="E76" s="27" t="s">
        <v>71</v>
      </c>
      <c r="F76" s="29" t="s">
        <v>313</v>
      </c>
      <c r="G76" s="29" t="s">
        <v>430</v>
      </c>
      <c r="H76" s="29" t="s">
        <v>294</v>
      </c>
    </row>
    <row r="77" spans="1:8" ht="22.5" x14ac:dyDescent="0.6">
      <c r="A77" s="280">
        <v>43863.574999999997</v>
      </c>
      <c r="B77" s="27" t="s">
        <v>441</v>
      </c>
      <c r="C77" s="41"/>
      <c r="D77" s="41">
        <v>1884241</v>
      </c>
      <c r="E77" s="31" t="s">
        <v>59</v>
      </c>
      <c r="F77" s="27" t="s">
        <v>313</v>
      </c>
      <c r="G77" s="27" t="s">
        <v>442</v>
      </c>
      <c r="H77" s="29" t="s">
        <v>444</v>
      </c>
    </row>
    <row r="78" spans="1:8" ht="22.5" x14ac:dyDescent="0.6">
      <c r="A78" s="273">
        <v>43863.616666666669</v>
      </c>
      <c r="B78" s="27" t="s">
        <v>445</v>
      </c>
      <c r="C78" s="28"/>
      <c r="D78" s="28">
        <v>1711093</v>
      </c>
      <c r="E78" s="27" t="s">
        <v>312</v>
      </c>
      <c r="F78" s="29" t="s">
        <v>313</v>
      </c>
      <c r="G78" s="29" t="s">
        <v>376</v>
      </c>
      <c r="H78" s="29" t="s">
        <v>447</v>
      </c>
    </row>
    <row r="79" spans="1:8" ht="22.5" x14ac:dyDescent="0.6">
      <c r="A79" s="273">
        <v>43863.729861111111</v>
      </c>
      <c r="B79" s="27" t="s">
        <v>448</v>
      </c>
      <c r="C79" s="28">
        <v>3644140</v>
      </c>
      <c r="D79" s="28"/>
      <c r="E79" s="27" t="s">
        <v>274</v>
      </c>
      <c r="F79" s="29" t="s">
        <v>276</v>
      </c>
      <c r="G79" s="29" t="s">
        <v>248</v>
      </c>
      <c r="H79" s="29" t="s">
        <v>449</v>
      </c>
    </row>
    <row r="80" spans="1:8" ht="22.5" x14ac:dyDescent="0.6">
      <c r="A80" s="273">
        <v>43865.457638888889</v>
      </c>
      <c r="B80" s="27" t="s">
        <v>450</v>
      </c>
      <c r="C80" s="28"/>
      <c r="D80" s="28">
        <v>320752</v>
      </c>
      <c r="E80" s="27" t="s">
        <v>291</v>
      </c>
      <c r="F80" s="27" t="s">
        <v>313</v>
      </c>
      <c r="G80" s="29" t="s">
        <v>291</v>
      </c>
      <c r="H80" s="29" t="s">
        <v>389</v>
      </c>
    </row>
    <row r="81" spans="1:8" ht="22.5" x14ac:dyDescent="0.6">
      <c r="A81" s="273">
        <v>43865.689583333333</v>
      </c>
      <c r="B81" s="27" t="s">
        <v>451</v>
      </c>
      <c r="C81" s="32"/>
      <c r="D81" s="28">
        <v>1240670</v>
      </c>
      <c r="E81" s="27" t="s">
        <v>342</v>
      </c>
      <c r="F81" s="33" t="s">
        <v>293</v>
      </c>
      <c r="G81" s="33" t="s">
        <v>342</v>
      </c>
      <c r="H81" s="33" t="s">
        <v>452</v>
      </c>
    </row>
    <row r="82" spans="1:8" ht="22.5" x14ac:dyDescent="0.6">
      <c r="A82" s="273">
        <v>43865.743750000001</v>
      </c>
      <c r="B82" s="27" t="s">
        <v>453</v>
      </c>
      <c r="C82" s="28">
        <v>4483494</v>
      </c>
      <c r="D82" s="28"/>
      <c r="E82" s="27" t="s">
        <v>274</v>
      </c>
      <c r="F82" s="29" t="s">
        <v>276</v>
      </c>
      <c r="G82" s="29" t="s">
        <v>248</v>
      </c>
      <c r="H82" s="29" t="s">
        <v>455</v>
      </c>
    </row>
    <row r="83" spans="1:8" ht="22.5" x14ac:dyDescent="0.6">
      <c r="A83" s="281">
        <v>43866.487500000003</v>
      </c>
      <c r="B83" s="27" t="s">
        <v>456</v>
      </c>
      <c r="C83" s="44">
        <v>668773</v>
      </c>
      <c r="D83" s="44"/>
      <c r="E83" s="38" t="s">
        <v>274</v>
      </c>
      <c r="F83" s="29" t="s">
        <v>276</v>
      </c>
      <c r="G83" s="29" t="s">
        <v>248</v>
      </c>
      <c r="H83" s="29" t="s">
        <v>457</v>
      </c>
    </row>
    <row r="84" spans="1:8" ht="22.5" x14ac:dyDescent="0.6">
      <c r="A84" s="273">
        <v>43866.536805555559</v>
      </c>
      <c r="B84" s="27" t="s">
        <v>351</v>
      </c>
      <c r="C84" s="28">
        <v>591140</v>
      </c>
      <c r="D84" s="28"/>
      <c r="E84" s="27" t="s">
        <v>274</v>
      </c>
      <c r="F84" s="27" t="s">
        <v>283</v>
      </c>
      <c r="G84" s="29" t="s">
        <v>274</v>
      </c>
      <c r="H84" s="29" t="s">
        <v>458</v>
      </c>
    </row>
    <row r="85" spans="1:8" ht="22.5" x14ac:dyDescent="0.6">
      <c r="A85" s="273">
        <v>43866.564583333333</v>
      </c>
      <c r="B85" s="27" t="s">
        <v>459</v>
      </c>
      <c r="C85" s="28">
        <v>4704214</v>
      </c>
      <c r="D85" s="28"/>
      <c r="E85" s="27" t="s">
        <v>274</v>
      </c>
      <c r="F85" s="27" t="s">
        <v>283</v>
      </c>
      <c r="G85" s="29" t="s">
        <v>274</v>
      </c>
      <c r="H85" s="29" t="s">
        <v>384</v>
      </c>
    </row>
    <row r="86" spans="1:8" ht="22.5" x14ac:dyDescent="0.6">
      <c r="A86" s="273">
        <v>43866.645833333336</v>
      </c>
      <c r="B86" s="27" t="s">
        <v>460</v>
      </c>
      <c r="C86" s="28"/>
      <c r="D86" s="28">
        <v>635318</v>
      </c>
      <c r="E86" s="27" t="s">
        <v>59</v>
      </c>
      <c r="F86" s="27" t="s">
        <v>293</v>
      </c>
      <c r="G86" s="29" t="s">
        <v>59</v>
      </c>
      <c r="H86" s="29" t="s">
        <v>461</v>
      </c>
    </row>
    <row r="87" spans="1:8" ht="22.5" x14ac:dyDescent="0.6">
      <c r="A87" s="273">
        <v>43867.600694444445</v>
      </c>
      <c r="B87" s="27" t="s">
        <v>462</v>
      </c>
      <c r="C87" s="28"/>
      <c r="D87" s="28">
        <v>1659326</v>
      </c>
      <c r="E87" s="27" t="s">
        <v>291</v>
      </c>
      <c r="F87" s="27" t="s">
        <v>293</v>
      </c>
      <c r="G87" s="29" t="s">
        <v>291</v>
      </c>
      <c r="H87" s="29" t="s">
        <v>322</v>
      </c>
    </row>
    <row r="88" spans="1:8" ht="22.5" x14ac:dyDescent="0.6">
      <c r="A88" s="273">
        <v>43867.615277777775</v>
      </c>
      <c r="B88" s="27" t="s">
        <v>463</v>
      </c>
      <c r="C88" s="28">
        <v>1939177</v>
      </c>
      <c r="D88" s="28"/>
      <c r="E88" s="27" t="s">
        <v>274</v>
      </c>
      <c r="F88" s="27" t="s">
        <v>283</v>
      </c>
      <c r="G88" s="29" t="s">
        <v>274</v>
      </c>
      <c r="H88" s="29" t="s">
        <v>464</v>
      </c>
    </row>
    <row r="89" spans="1:8" ht="22.5" x14ac:dyDescent="0.6">
      <c r="A89" s="273">
        <v>43867.686805555553</v>
      </c>
      <c r="B89" s="27" t="s">
        <v>465</v>
      </c>
      <c r="C89" s="28"/>
      <c r="D89" s="28">
        <v>1866566</v>
      </c>
      <c r="E89" s="27" t="s">
        <v>312</v>
      </c>
      <c r="F89" s="27" t="s">
        <v>293</v>
      </c>
      <c r="G89" s="29" t="s">
        <v>312</v>
      </c>
      <c r="H89" s="29" t="s">
        <v>314</v>
      </c>
    </row>
    <row r="90" spans="1:8" ht="22.5" x14ac:dyDescent="0.6">
      <c r="A90" s="273">
        <v>43869.488888888889</v>
      </c>
      <c r="B90" s="27" t="s">
        <v>466</v>
      </c>
      <c r="C90" s="28"/>
      <c r="D90" s="28">
        <v>759193</v>
      </c>
      <c r="E90" s="27" t="s">
        <v>291</v>
      </c>
      <c r="F90" s="27" t="s">
        <v>313</v>
      </c>
      <c r="G90" s="29" t="s">
        <v>291</v>
      </c>
      <c r="H90" s="29" t="s">
        <v>467</v>
      </c>
    </row>
    <row r="91" spans="1:8" ht="22.5" x14ac:dyDescent="0.6">
      <c r="A91" s="273">
        <v>43870.382638888892</v>
      </c>
      <c r="B91" s="27" t="s">
        <v>468</v>
      </c>
      <c r="C91" s="28"/>
      <c r="D91" s="28">
        <v>1804743</v>
      </c>
      <c r="E91" s="27" t="s">
        <v>71</v>
      </c>
      <c r="F91" s="27" t="s">
        <v>293</v>
      </c>
      <c r="G91" s="29" t="s">
        <v>71</v>
      </c>
      <c r="H91" s="29" t="s">
        <v>469</v>
      </c>
    </row>
    <row r="92" spans="1:8" ht="22.5" x14ac:dyDescent="0.6">
      <c r="A92" s="273">
        <v>43870.427083333336</v>
      </c>
      <c r="B92" s="27" t="s">
        <v>424</v>
      </c>
      <c r="C92" s="28">
        <v>4688490</v>
      </c>
      <c r="D92" s="28"/>
      <c r="E92" s="27" t="s">
        <v>274</v>
      </c>
      <c r="F92" s="27" t="s">
        <v>283</v>
      </c>
      <c r="G92" s="29" t="s">
        <v>274</v>
      </c>
      <c r="H92" s="29" t="s">
        <v>470</v>
      </c>
    </row>
    <row r="93" spans="1:8" ht="22.5" x14ac:dyDescent="0.6">
      <c r="A93" s="273">
        <v>43870.713888888888</v>
      </c>
      <c r="B93" s="27" t="s">
        <v>471</v>
      </c>
      <c r="C93" s="28">
        <v>2982442</v>
      </c>
      <c r="D93" s="28"/>
      <c r="E93" s="27" t="s">
        <v>274</v>
      </c>
      <c r="F93" s="29" t="s">
        <v>276</v>
      </c>
      <c r="G93" s="29" t="s">
        <v>248</v>
      </c>
      <c r="H93" s="29" t="s">
        <v>472</v>
      </c>
    </row>
    <row r="94" spans="1:8" ht="22.5" x14ac:dyDescent="0.6">
      <c r="A94" s="273">
        <v>43870.78125</v>
      </c>
      <c r="B94" s="27" t="s">
        <v>473</v>
      </c>
      <c r="C94" s="28">
        <v>4358647</v>
      </c>
      <c r="D94" s="28"/>
      <c r="E94" s="27" t="s">
        <v>274</v>
      </c>
      <c r="F94" s="27" t="s">
        <v>283</v>
      </c>
      <c r="G94" s="29" t="s">
        <v>274</v>
      </c>
      <c r="H94" s="29" t="s">
        <v>285</v>
      </c>
    </row>
    <row r="95" spans="1:8" ht="22.5" x14ac:dyDescent="0.6">
      <c r="A95" s="273">
        <v>43871.4375</v>
      </c>
      <c r="B95" s="27" t="s">
        <v>474</v>
      </c>
      <c r="C95" s="28">
        <v>4372963</v>
      </c>
      <c r="D95" s="28"/>
      <c r="E95" s="27" t="s">
        <v>274</v>
      </c>
      <c r="F95" s="29" t="s">
        <v>276</v>
      </c>
      <c r="G95" s="29" t="s">
        <v>248</v>
      </c>
      <c r="H95" s="29" t="s">
        <v>475</v>
      </c>
    </row>
    <row r="96" spans="1:8" ht="22.5" x14ac:dyDescent="0.6">
      <c r="A96" s="273">
        <v>43873.376388888886</v>
      </c>
      <c r="B96" s="27" t="s">
        <v>476</v>
      </c>
      <c r="C96" s="28"/>
      <c r="D96" s="28">
        <v>1275763</v>
      </c>
      <c r="E96" s="27" t="s">
        <v>312</v>
      </c>
      <c r="F96" s="29" t="s">
        <v>313</v>
      </c>
      <c r="G96" s="29" t="s">
        <v>376</v>
      </c>
      <c r="H96" s="29" t="s">
        <v>477</v>
      </c>
    </row>
    <row r="97" spans="1:8" ht="22.5" x14ac:dyDescent="0.6">
      <c r="A97" s="273">
        <v>43873.408333333333</v>
      </c>
      <c r="B97" s="27" t="s">
        <v>478</v>
      </c>
      <c r="C97" s="28"/>
      <c r="D97" s="28">
        <v>703787</v>
      </c>
      <c r="E97" s="27" t="s">
        <v>71</v>
      </c>
      <c r="F97" s="29" t="s">
        <v>313</v>
      </c>
      <c r="G97" s="29" t="s">
        <v>430</v>
      </c>
      <c r="H97" s="29" t="s">
        <v>400</v>
      </c>
    </row>
    <row r="98" spans="1:8" ht="22.5" x14ac:dyDescent="0.6">
      <c r="A98" s="273">
        <v>43873.552777777775</v>
      </c>
      <c r="B98" s="27" t="s">
        <v>479</v>
      </c>
      <c r="C98" s="28"/>
      <c r="D98" s="28">
        <v>372168</v>
      </c>
      <c r="E98" s="27" t="s">
        <v>342</v>
      </c>
      <c r="F98" s="29" t="s">
        <v>313</v>
      </c>
      <c r="G98" s="29" t="s">
        <v>343</v>
      </c>
      <c r="H98" s="29" t="s">
        <v>481</v>
      </c>
    </row>
    <row r="99" spans="1:8" ht="22.5" x14ac:dyDescent="0.6">
      <c r="A99" s="273">
        <v>43873.694444444445</v>
      </c>
      <c r="B99" s="27" t="s">
        <v>482</v>
      </c>
      <c r="C99" s="28">
        <v>4337878</v>
      </c>
      <c r="D99" s="28"/>
      <c r="E99" s="27" t="s">
        <v>274</v>
      </c>
      <c r="F99" s="29" t="s">
        <v>276</v>
      </c>
      <c r="G99" s="29" t="s">
        <v>248</v>
      </c>
      <c r="H99" s="29" t="s">
        <v>355</v>
      </c>
    </row>
    <row r="100" spans="1:8" ht="22.5" x14ac:dyDescent="0.6">
      <c r="A100" s="273">
        <v>43874.582638888889</v>
      </c>
      <c r="B100" s="27" t="s">
        <v>483</v>
      </c>
      <c r="C100" s="28">
        <v>4401343</v>
      </c>
      <c r="D100" s="28"/>
      <c r="E100" s="27" t="s">
        <v>274</v>
      </c>
      <c r="F100" s="29" t="s">
        <v>276</v>
      </c>
      <c r="G100" s="29" t="s">
        <v>248</v>
      </c>
      <c r="H100" s="29" t="s">
        <v>484</v>
      </c>
    </row>
    <row r="101" spans="1:8" ht="22.5" x14ac:dyDescent="0.6">
      <c r="A101" s="273">
        <v>43874.65625</v>
      </c>
      <c r="B101" s="27" t="s">
        <v>485</v>
      </c>
      <c r="C101" s="28">
        <v>4355806</v>
      </c>
      <c r="D101" s="28"/>
      <c r="E101" s="27" t="s">
        <v>274</v>
      </c>
      <c r="F101" s="29" t="s">
        <v>276</v>
      </c>
      <c r="G101" s="29" t="s">
        <v>248</v>
      </c>
      <c r="H101" s="29" t="s">
        <v>486</v>
      </c>
    </row>
    <row r="102" spans="1:8" ht="22.5" x14ac:dyDescent="0.6">
      <c r="A102" s="273">
        <v>43874.710416666669</v>
      </c>
      <c r="B102" s="27" t="s">
        <v>487</v>
      </c>
      <c r="C102" s="28">
        <v>4283360</v>
      </c>
      <c r="D102" s="28"/>
      <c r="E102" s="27" t="s">
        <v>274</v>
      </c>
      <c r="F102" s="29" t="s">
        <v>276</v>
      </c>
      <c r="G102" s="29" t="s">
        <v>248</v>
      </c>
      <c r="H102" s="29" t="s">
        <v>286</v>
      </c>
    </row>
    <row r="103" spans="1:8" ht="22.5" x14ac:dyDescent="0.6">
      <c r="A103" s="273">
        <v>43875.679861111108</v>
      </c>
      <c r="B103" s="27" t="s">
        <v>488</v>
      </c>
      <c r="C103" s="28">
        <v>4805846</v>
      </c>
      <c r="D103" s="28"/>
      <c r="E103" s="27" t="s">
        <v>274</v>
      </c>
      <c r="F103" s="29" t="s">
        <v>276</v>
      </c>
      <c r="G103" s="29" t="s">
        <v>274</v>
      </c>
      <c r="H103" s="29" t="s">
        <v>489</v>
      </c>
    </row>
    <row r="104" spans="1:8" ht="22.5" x14ac:dyDescent="0.6">
      <c r="A104" s="273">
        <v>43876.448611111111</v>
      </c>
      <c r="B104" s="27" t="s">
        <v>490</v>
      </c>
      <c r="C104" s="28"/>
      <c r="D104" s="28">
        <v>1368043</v>
      </c>
      <c r="E104" s="27" t="s">
        <v>59</v>
      </c>
      <c r="F104" s="29" t="s">
        <v>313</v>
      </c>
      <c r="G104" s="29" t="s">
        <v>59</v>
      </c>
      <c r="H104" s="29" t="s">
        <v>491</v>
      </c>
    </row>
    <row r="105" spans="1:8" ht="22.5" x14ac:dyDescent="0.6">
      <c r="A105" s="273">
        <v>43876.756944444445</v>
      </c>
      <c r="B105" s="27" t="s">
        <v>492</v>
      </c>
      <c r="C105" s="28"/>
      <c r="D105" s="28">
        <v>1071134</v>
      </c>
      <c r="E105" s="27" t="s">
        <v>59</v>
      </c>
      <c r="F105" s="27" t="s">
        <v>293</v>
      </c>
      <c r="G105" s="29" t="s">
        <v>59</v>
      </c>
      <c r="H105" s="29" t="s">
        <v>294</v>
      </c>
    </row>
    <row r="106" spans="1:8" ht="22.5" x14ac:dyDescent="0.6">
      <c r="A106" s="273">
        <v>43876.788888888892</v>
      </c>
      <c r="B106" s="27" t="s">
        <v>321</v>
      </c>
      <c r="C106" s="28"/>
      <c r="D106" s="28">
        <v>1584162</v>
      </c>
      <c r="E106" s="27" t="s">
        <v>59</v>
      </c>
      <c r="F106" s="27" t="s">
        <v>293</v>
      </c>
      <c r="G106" s="29" t="s">
        <v>59</v>
      </c>
      <c r="H106" s="29" t="s">
        <v>322</v>
      </c>
    </row>
    <row r="107" spans="1:8" ht="22.5" x14ac:dyDescent="0.6">
      <c r="A107" s="273">
        <v>43877.544444444444</v>
      </c>
      <c r="B107" s="27" t="s">
        <v>493</v>
      </c>
      <c r="C107" s="28">
        <v>1336415</v>
      </c>
      <c r="D107" s="28"/>
      <c r="E107" s="27" t="s">
        <v>274</v>
      </c>
      <c r="F107" s="29" t="s">
        <v>276</v>
      </c>
      <c r="G107" s="29" t="s">
        <v>248</v>
      </c>
      <c r="H107" s="29" t="s">
        <v>494</v>
      </c>
    </row>
    <row r="108" spans="1:8" ht="22.5" x14ac:dyDescent="0.6">
      <c r="A108" s="273">
        <v>43878.510416666664</v>
      </c>
      <c r="B108" s="27" t="s">
        <v>495</v>
      </c>
      <c r="C108" s="28">
        <v>3399420</v>
      </c>
      <c r="D108" s="28"/>
      <c r="E108" s="27" t="s">
        <v>274</v>
      </c>
      <c r="F108" s="29" t="s">
        <v>276</v>
      </c>
      <c r="G108" s="29" t="s">
        <v>248</v>
      </c>
      <c r="H108" s="29" t="s">
        <v>300</v>
      </c>
    </row>
    <row r="109" spans="1:8" ht="22.5" x14ac:dyDescent="0.6">
      <c r="A109" s="273">
        <v>43878.703472222223</v>
      </c>
      <c r="B109" s="27" t="s">
        <v>496</v>
      </c>
      <c r="C109" s="28">
        <v>1189105</v>
      </c>
      <c r="D109" s="28"/>
      <c r="E109" s="27" t="s">
        <v>274</v>
      </c>
      <c r="F109" s="29" t="s">
        <v>276</v>
      </c>
      <c r="G109" s="29" t="s">
        <v>248</v>
      </c>
      <c r="H109" s="29" t="s">
        <v>497</v>
      </c>
    </row>
    <row r="110" spans="1:8" x14ac:dyDescent="0.6">
      <c r="A110" s="274">
        <v>43880.518750000003</v>
      </c>
      <c r="B110" s="43" t="s">
        <v>498</v>
      </c>
      <c r="C110" s="30"/>
      <c r="D110" s="30">
        <v>1663445</v>
      </c>
      <c r="E110" s="31" t="s">
        <v>312</v>
      </c>
      <c r="F110" s="29" t="s">
        <v>293</v>
      </c>
      <c r="G110" s="29" t="s">
        <v>499</v>
      </c>
      <c r="H110" s="29" t="s">
        <v>436</v>
      </c>
    </row>
    <row r="111" spans="1:8" x14ac:dyDescent="0.6">
      <c r="A111" s="273">
        <v>43880.527083333334</v>
      </c>
      <c r="B111" s="43" t="s">
        <v>500</v>
      </c>
      <c r="C111" s="28">
        <v>1247583</v>
      </c>
      <c r="D111" s="28"/>
      <c r="E111" s="27" t="s">
        <v>274</v>
      </c>
      <c r="F111" s="27" t="s">
        <v>276</v>
      </c>
      <c r="G111" s="27" t="s">
        <v>248</v>
      </c>
      <c r="H111" s="29" t="s">
        <v>501</v>
      </c>
    </row>
    <row r="112" spans="1:8" x14ac:dyDescent="0.6">
      <c r="A112" s="273">
        <v>43880.708333333336</v>
      </c>
      <c r="B112" s="43" t="s">
        <v>502</v>
      </c>
      <c r="C112" s="28">
        <v>3879380</v>
      </c>
      <c r="D112" s="28"/>
      <c r="E112" s="27" t="s">
        <v>274</v>
      </c>
      <c r="F112" s="27" t="s">
        <v>276</v>
      </c>
      <c r="G112" s="27" t="s">
        <v>248</v>
      </c>
      <c r="H112" s="29" t="s">
        <v>503</v>
      </c>
    </row>
    <row r="113" spans="1:8" x14ac:dyDescent="0.6">
      <c r="A113" s="273">
        <v>43881.458333333336</v>
      </c>
      <c r="B113" s="43" t="s">
        <v>504</v>
      </c>
      <c r="C113" s="28">
        <v>2209679</v>
      </c>
      <c r="D113" s="28"/>
      <c r="E113" s="27" t="s">
        <v>274</v>
      </c>
      <c r="F113" s="29" t="s">
        <v>276</v>
      </c>
      <c r="G113" s="29" t="s">
        <v>248</v>
      </c>
      <c r="H113" s="29" t="s">
        <v>506</v>
      </c>
    </row>
    <row r="114" spans="1:8" x14ac:dyDescent="0.6">
      <c r="A114" s="273">
        <v>43882.654166666667</v>
      </c>
      <c r="B114" s="43" t="s">
        <v>507</v>
      </c>
      <c r="C114" s="28"/>
      <c r="D114" s="28">
        <v>429002</v>
      </c>
      <c r="E114" s="27" t="s">
        <v>291</v>
      </c>
      <c r="F114" s="29" t="s">
        <v>313</v>
      </c>
      <c r="G114" s="29" t="s">
        <v>362</v>
      </c>
      <c r="H114" s="29" t="s">
        <v>509</v>
      </c>
    </row>
    <row r="115" spans="1:8" x14ac:dyDescent="0.6">
      <c r="A115" s="273">
        <v>43882.70208333333</v>
      </c>
      <c r="B115" s="43" t="s">
        <v>433</v>
      </c>
      <c r="C115" s="28">
        <v>3095649</v>
      </c>
      <c r="D115" s="28"/>
      <c r="E115" s="27" t="s">
        <v>274</v>
      </c>
      <c r="F115" s="29" t="s">
        <v>276</v>
      </c>
      <c r="G115" s="29" t="s">
        <v>248</v>
      </c>
      <c r="H115" s="27" t="s">
        <v>511</v>
      </c>
    </row>
    <row r="116" spans="1:8" x14ac:dyDescent="0.6">
      <c r="A116" s="273">
        <v>43883.532638888886</v>
      </c>
      <c r="B116" s="43" t="s">
        <v>512</v>
      </c>
      <c r="C116" s="45">
        <v>1952959</v>
      </c>
      <c r="D116" s="28"/>
      <c r="E116" s="27" t="s">
        <v>274</v>
      </c>
      <c r="F116" s="33" t="s">
        <v>283</v>
      </c>
      <c r="G116" s="33" t="s">
        <v>274</v>
      </c>
      <c r="H116" s="33" t="s">
        <v>484</v>
      </c>
    </row>
    <row r="117" spans="1:8" x14ac:dyDescent="0.6">
      <c r="A117" s="282">
        <v>43883.552083333336</v>
      </c>
      <c r="B117" s="43" t="s">
        <v>513</v>
      </c>
      <c r="C117" s="46">
        <v>2025499</v>
      </c>
      <c r="D117" s="46"/>
      <c r="E117" s="38" t="s">
        <v>274</v>
      </c>
      <c r="F117" s="29" t="s">
        <v>276</v>
      </c>
      <c r="G117" s="29" t="s">
        <v>274</v>
      </c>
      <c r="H117" s="29" t="s">
        <v>297</v>
      </c>
    </row>
    <row r="118" spans="1:8" x14ac:dyDescent="0.6">
      <c r="A118" s="282">
        <v>43883.637499999997</v>
      </c>
      <c r="B118" s="43" t="s">
        <v>514</v>
      </c>
      <c r="C118" s="46">
        <v>1716907</v>
      </c>
      <c r="D118" s="46"/>
      <c r="E118" s="38" t="s">
        <v>274</v>
      </c>
      <c r="F118" s="29" t="s">
        <v>276</v>
      </c>
      <c r="G118" s="29" t="s">
        <v>274</v>
      </c>
      <c r="H118" s="29" t="s">
        <v>320</v>
      </c>
    </row>
    <row r="119" spans="1:8" x14ac:dyDescent="0.6">
      <c r="A119" s="282">
        <v>43884.441666666666</v>
      </c>
      <c r="B119" s="43" t="s">
        <v>515</v>
      </c>
      <c r="C119" s="46">
        <v>2672624</v>
      </c>
      <c r="D119" s="46"/>
      <c r="E119" s="38" t="s">
        <v>274</v>
      </c>
      <c r="F119" s="33" t="s">
        <v>275</v>
      </c>
      <c r="G119" s="33" t="s">
        <v>274</v>
      </c>
      <c r="H119" s="33" t="s">
        <v>349</v>
      </c>
    </row>
    <row r="120" spans="1:8" x14ac:dyDescent="0.6">
      <c r="A120" s="282">
        <v>43885.506944444445</v>
      </c>
      <c r="B120" s="43" t="s">
        <v>516</v>
      </c>
      <c r="C120" s="46">
        <v>535452</v>
      </c>
      <c r="D120" s="46"/>
      <c r="E120" s="38" t="s">
        <v>274</v>
      </c>
      <c r="F120" s="29" t="s">
        <v>276</v>
      </c>
      <c r="G120" s="29" t="s">
        <v>274</v>
      </c>
      <c r="H120" s="29" t="s">
        <v>428</v>
      </c>
    </row>
    <row r="121" spans="1:8" x14ac:dyDescent="0.6">
      <c r="A121" s="282">
        <v>43885.729166666664</v>
      </c>
      <c r="B121" s="43" t="s">
        <v>517</v>
      </c>
      <c r="C121" s="46"/>
      <c r="D121" s="46">
        <v>136945</v>
      </c>
      <c r="E121" s="38" t="s">
        <v>312</v>
      </c>
      <c r="F121" s="29" t="s">
        <v>313</v>
      </c>
      <c r="G121" s="29" t="s">
        <v>312</v>
      </c>
      <c r="H121" s="29" t="s">
        <v>467</v>
      </c>
    </row>
    <row r="122" spans="1:8" x14ac:dyDescent="0.6">
      <c r="A122" s="273">
        <v>43885.763888888891</v>
      </c>
      <c r="B122" s="43" t="s">
        <v>518</v>
      </c>
      <c r="C122" s="28">
        <v>905458</v>
      </c>
      <c r="D122" s="28"/>
      <c r="E122" s="27" t="s">
        <v>274</v>
      </c>
      <c r="F122" s="27" t="s">
        <v>276</v>
      </c>
      <c r="G122" s="29" t="s">
        <v>274</v>
      </c>
      <c r="H122" s="29" t="s">
        <v>519</v>
      </c>
    </row>
    <row r="123" spans="1:8" x14ac:dyDescent="0.6">
      <c r="A123" s="273">
        <v>43886.689583333333</v>
      </c>
      <c r="B123" s="43" t="s">
        <v>520</v>
      </c>
      <c r="C123" s="28">
        <v>2356099</v>
      </c>
      <c r="D123" s="28"/>
      <c r="E123" s="27" t="s">
        <v>274</v>
      </c>
      <c r="F123" s="27" t="s">
        <v>276</v>
      </c>
      <c r="G123" s="29" t="s">
        <v>274</v>
      </c>
      <c r="H123" s="29" t="s">
        <v>521</v>
      </c>
    </row>
    <row r="124" spans="1:8" x14ac:dyDescent="0.6">
      <c r="A124" s="273">
        <v>43887.4375</v>
      </c>
      <c r="B124" s="43" t="s">
        <v>522</v>
      </c>
      <c r="C124" s="28"/>
      <c r="D124" s="28">
        <v>1007485</v>
      </c>
      <c r="E124" s="27" t="s">
        <v>291</v>
      </c>
      <c r="F124" s="29" t="s">
        <v>313</v>
      </c>
      <c r="G124" s="29" t="s">
        <v>291</v>
      </c>
      <c r="H124" s="29" t="s">
        <v>523</v>
      </c>
    </row>
    <row r="125" spans="1:8" x14ac:dyDescent="0.6">
      <c r="A125" s="273">
        <v>43887.445138888892</v>
      </c>
      <c r="B125" s="43" t="s">
        <v>524</v>
      </c>
      <c r="C125" s="28">
        <v>1162189</v>
      </c>
      <c r="D125" s="28"/>
      <c r="E125" s="27" t="s">
        <v>274</v>
      </c>
      <c r="F125" s="29" t="s">
        <v>276</v>
      </c>
      <c r="G125" s="29" t="s">
        <v>274</v>
      </c>
      <c r="H125" s="29" t="s">
        <v>525</v>
      </c>
    </row>
    <row r="126" spans="1:8" x14ac:dyDescent="0.6">
      <c r="A126" s="273">
        <v>43887.536805555559</v>
      </c>
      <c r="B126" s="43" t="s">
        <v>526</v>
      </c>
      <c r="C126" s="28"/>
      <c r="D126" s="28">
        <v>257347</v>
      </c>
      <c r="E126" s="27" t="s">
        <v>59</v>
      </c>
      <c r="F126" s="33" t="s">
        <v>292</v>
      </c>
      <c r="G126" s="33" t="s">
        <v>59</v>
      </c>
      <c r="H126" s="33" t="s">
        <v>363</v>
      </c>
    </row>
    <row r="127" spans="1:8" x14ac:dyDescent="0.6">
      <c r="A127" s="273">
        <v>43887.543749999997</v>
      </c>
      <c r="B127" s="43" t="s">
        <v>527</v>
      </c>
      <c r="C127" s="28">
        <v>2386157</v>
      </c>
      <c r="D127" s="28"/>
      <c r="E127" s="27" t="s">
        <v>274</v>
      </c>
      <c r="F127" s="29" t="s">
        <v>276</v>
      </c>
      <c r="G127" s="29" t="s">
        <v>248</v>
      </c>
      <c r="H127" s="47" t="s">
        <v>529</v>
      </c>
    </row>
    <row r="128" spans="1:8" x14ac:dyDescent="0.6">
      <c r="A128" s="273">
        <v>43887.548611111109</v>
      </c>
      <c r="B128" s="43" t="s">
        <v>530</v>
      </c>
      <c r="C128" s="45">
        <v>4579345</v>
      </c>
      <c r="D128" s="28"/>
      <c r="E128" s="27" t="s">
        <v>274</v>
      </c>
      <c r="F128" s="33" t="s">
        <v>283</v>
      </c>
      <c r="G128" s="33" t="s">
        <v>274</v>
      </c>
      <c r="H128" s="33" t="s">
        <v>408</v>
      </c>
    </row>
    <row r="129" spans="1:8" x14ac:dyDescent="0.6">
      <c r="A129" s="273">
        <v>43887.703472222223</v>
      </c>
      <c r="B129" s="43" t="s">
        <v>531</v>
      </c>
      <c r="C129" s="28">
        <v>4547748</v>
      </c>
      <c r="D129" s="28"/>
      <c r="E129" s="27" t="s">
        <v>274</v>
      </c>
      <c r="F129" s="27" t="s">
        <v>276</v>
      </c>
      <c r="G129" s="29" t="s">
        <v>274</v>
      </c>
      <c r="H129" s="29" t="s">
        <v>414</v>
      </c>
    </row>
    <row r="130" spans="1:8" x14ac:dyDescent="0.6">
      <c r="A130" s="273">
        <v>43888.402083333334</v>
      </c>
      <c r="B130" s="43" t="s">
        <v>532</v>
      </c>
      <c r="C130" s="28"/>
      <c r="D130" s="28">
        <v>1311706</v>
      </c>
      <c r="E130" s="27" t="s">
        <v>291</v>
      </c>
      <c r="F130" s="29" t="s">
        <v>313</v>
      </c>
      <c r="G130" s="29" t="s">
        <v>362</v>
      </c>
      <c r="H130" s="40" t="s">
        <v>534</v>
      </c>
    </row>
    <row r="131" spans="1:8" x14ac:dyDescent="0.6">
      <c r="A131" s="273">
        <v>43888.742361111108</v>
      </c>
      <c r="B131" s="43" t="s">
        <v>535</v>
      </c>
      <c r="C131" s="28">
        <v>1459830</v>
      </c>
      <c r="D131" s="28"/>
      <c r="E131" s="27" t="s">
        <v>274</v>
      </c>
      <c r="F131" s="27" t="s">
        <v>276</v>
      </c>
      <c r="G131" s="29" t="s">
        <v>274</v>
      </c>
      <c r="H131" s="29" t="s">
        <v>536</v>
      </c>
    </row>
    <row r="132" spans="1:8" x14ac:dyDescent="0.6">
      <c r="A132" s="273">
        <v>43889.393750000003</v>
      </c>
      <c r="B132" s="43" t="s">
        <v>537</v>
      </c>
      <c r="C132" s="28">
        <v>2820195</v>
      </c>
      <c r="D132" s="28"/>
      <c r="E132" s="27" t="s">
        <v>274</v>
      </c>
      <c r="F132" s="29" t="s">
        <v>276</v>
      </c>
      <c r="G132" s="29" t="s">
        <v>248</v>
      </c>
      <c r="H132" s="48" t="s">
        <v>455</v>
      </c>
    </row>
    <row r="133" spans="1:8" x14ac:dyDescent="0.6">
      <c r="A133" s="273">
        <v>43889.419444444444</v>
      </c>
      <c r="B133" s="43" t="s">
        <v>538</v>
      </c>
      <c r="C133" s="28"/>
      <c r="D133" s="28">
        <v>355390</v>
      </c>
      <c r="E133" s="27" t="s">
        <v>59</v>
      </c>
      <c r="F133" s="29" t="s">
        <v>313</v>
      </c>
      <c r="G133" s="29" t="s">
        <v>442</v>
      </c>
      <c r="H133" s="29" t="s">
        <v>539</v>
      </c>
    </row>
    <row r="134" spans="1:8" x14ac:dyDescent="0.6">
      <c r="A134" s="273">
        <v>43889.732638888891</v>
      </c>
      <c r="B134" s="43" t="s">
        <v>273</v>
      </c>
      <c r="C134" s="28">
        <v>3101031</v>
      </c>
      <c r="D134" s="28"/>
      <c r="E134" s="27" t="s">
        <v>274</v>
      </c>
      <c r="F134" s="29" t="s">
        <v>276</v>
      </c>
      <c r="G134" s="29" t="s">
        <v>248</v>
      </c>
      <c r="H134" s="29" t="s">
        <v>511</v>
      </c>
    </row>
    <row r="135" spans="1:8" x14ac:dyDescent="0.6">
      <c r="A135" s="273">
        <v>43891.382638888892</v>
      </c>
      <c r="B135" s="43" t="s">
        <v>540</v>
      </c>
      <c r="C135" s="28">
        <v>1654771</v>
      </c>
      <c r="D135" s="28"/>
      <c r="E135" s="27" t="s">
        <v>274</v>
      </c>
      <c r="F135" s="27" t="s">
        <v>276</v>
      </c>
      <c r="G135" s="27" t="s">
        <v>248</v>
      </c>
      <c r="H135" s="29" t="s">
        <v>542</v>
      </c>
    </row>
    <row r="136" spans="1:8" x14ac:dyDescent="0.6">
      <c r="A136" s="273">
        <v>43891.572222222225</v>
      </c>
      <c r="B136" s="43" t="s">
        <v>543</v>
      </c>
      <c r="C136" s="28">
        <v>3787114</v>
      </c>
      <c r="D136" s="28"/>
      <c r="E136" s="27" t="s">
        <v>274</v>
      </c>
      <c r="F136" s="29" t="s">
        <v>276</v>
      </c>
      <c r="G136" s="29" t="s">
        <v>274</v>
      </c>
      <c r="H136" s="29" t="s">
        <v>425</v>
      </c>
    </row>
    <row r="137" spans="1:8" x14ac:dyDescent="0.6">
      <c r="A137" s="273">
        <v>43891.602777777778</v>
      </c>
      <c r="B137" s="43" t="s">
        <v>544</v>
      </c>
      <c r="C137" s="45"/>
      <c r="D137" s="28">
        <v>370355</v>
      </c>
      <c r="E137" s="27" t="s">
        <v>71</v>
      </c>
      <c r="F137" s="33" t="s">
        <v>293</v>
      </c>
      <c r="G137" s="33" t="s">
        <v>71</v>
      </c>
      <c r="H137" s="33" t="s">
        <v>404</v>
      </c>
    </row>
    <row r="138" spans="1:8" x14ac:dyDescent="0.6">
      <c r="A138" s="273">
        <v>43892.732638888891</v>
      </c>
      <c r="B138" s="43" t="s">
        <v>545</v>
      </c>
      <c r="C138" s="28">
        <v>3662361</v>
      </c>
      <c r="D138" s="28"/>
      <c r="E138" s="27" t="s">
        <v>274</v>
      </c>
      <c r="F138" s="49" t="s">
        <v>276</v>
      </c>
      <c r="G138" s="48" t="s">
        <v>248</v>
      </c>
      <c r="H138" s="49" t="s">
        <v>286</v>
      </c>
    </row>
    <row r="139" spans="1:8" x14ac:dyDescent="0.6">
      <c r="A139" s="273">
        <v>43893.739583333336</v>
      </c>
      <c r="B139" s="43" t="s">
        <v>546</v>
      </c>
      <c r="C139" s="45"/>
      <c r="D139" s="28">
        <v>200910</v>
      </c>
      <c r="E139" s="27" t="s">
        <v>59</v>
      </c>
      <c r="F139" s="33" t="s">
        <v>293</v>
      </c>
      <c r="G139" s="33" t="s">
        <v>59</v>
      </c>
      <c r="H139" s="33" t="s">
        <v>547</v>
      </c>
    </row>
    <row r="140" spans="1:8" x14ac:dyDescent="0.6">
      <c r="A140" s="273">
        <v>43894.456944444442</v>
      </c>
      <c r="B140" s="43" t="s">
        <v>548</v>
      </c>
      <c r="C140" s="28">
        <v>4230782</v>
      </c>
      <c r="D140" s="28"/>
      <c r="E140" s="27" t="s">
        <v>274</v>
      </c>
      <c r="F140" s="27" t="s">
        <v>276</v>
      </c>
      <c r="G140" s="29" t="s">
        <v>274</v>
      </c>
      <c r="H140" s="29" t="s">
        <v>277</v>
      </c>
    </row>
    <row r="141" spans="1:8" x14ac:dyDescent="0.6">
      <c r="A141" s="273">
        <v>43894.524305555555</v>
      </c>
      <c r="B141" s="43" t="s">
        <v>549</v>
      </c>
      <c r="C141" s="28"/>
      <c r="D141" s="28">
        <v>1876366</v>
      </c>
      <c r="E141" s="27" t="s">
        <v>312</v>
      </c>
      <c r="F141" s="29" t="s">
        <v>313</v>
      </c>
      <c r="G141" s="29" t="s">
        <v>376</v>
      </c>
      <c r="H141" s="29" t="s">
        <v>550</v>
      </c>
    </row>
    <row r="142" spans="1:8" x14ac:dyDescent="0.6">
      <c r="A142" s="273">
        <v>43894.664583333331</v>
      </c>
      <c r="B142" s="43" t="s">
        <v>551</v>
      </c>
      <c r="C142" s="45">
        <v>3073622</v>
      </c>
      <c r="D142" s="28"/>
      <c r="E142" s="27" t="s">
        <v>274</v>
      </c>
      <c r="F142" s="33" t="s">
        <v>283</v>
      </c>
      <c r="G142" s="33" t="s">
        <v>274</v>
      </c>
      <c r="H142" s="33" t="s">
        <v>552</v>
      </c>
    </row>
    <row r="143" spans="1:8" x14ac:dyDescent="0.6">
      <c r="A143" s="273">
        <v>43894.736111111109</v>
      </c>
      <c r="B143" s="43" t="s">
        <v>553</v>
      </c>
      <c r="C143" s="45">
        <v>3738241</v>
      </c>
      <c r="D143" s="28"/>
      <c r="E143" s="27" t="s">
        <v>274</v>
      </c>
      <c r="F143" s="33" t="s">
        <v>283</v>
      </c>
      <c r="G143" s="33" t="s">
        <v>274</v>
      </c>
      <c r="H143" s="33" t="s">
        <v>355</v>
      </c>
    </row>
    <row r="144" spans="1:8" x14ac:dyDescent="0.6">
      <c r="A144" s="273">
        <v>43894.75</v>
      </c>
      <c r="B144" s="43" t="s">
        <v>554</v>
      </c>
      <c r="C144" s="45">
        <v>3294631</v>
      </c>
      <c r="D144" s="28"/>
      <c r="E144" s="27" t="s">
        <v>274</v>
      </c>
      <c r="F144" s="33" t="s">
        <v>283</v>
      </c>
      <c r="G144" s="33" t="s">
        <v>274</v>
      </c>
      <c r="H144" s="33" t="s">
        <v>555</v>
      </c>
    </row>
    <row r="145" spans="1:8" x14ac:dyDescent="0.6">
      <c r="A145" s="273">
        <v>43894.790277777778</v>
      </c>
      <c r="B145" s="43" t="s">
        <v>556</v>
      </c>
      <c r="C145" s="28">
        <v>4805369</v>
      </c>
      <c r="D145" s="28"/>
      <c r="E145" s="27" t="s">
        <v>274</v>
      </c>
      <c r="F145" s="48" t="s">
        <v>276</v>
      </c>
      <c r="G145" s="50" t="s">
        <v>248</v>
      </c>
      <c r="H145" s="51" t="s">
        <v>558</v>
      </c>
    </row>
    <row r="146" spans="1:8" x14ac:dyDescent="0.6">
      <c r="A146" s="273">
        <v>43895.611805555556</v>
      </c>
      <c r="B146" s="43" t="s">
        <v>559</v>
      </c>
      <c r="C146" s="28">
        <v>4257342</v>
      </c>
      <c r="D146" s="28"/>
      <c r="E146" s="27" t="s">
        <v>274</v>
      </c>
      <c r="F146" s="27" t="s">
        <v>283</v>
      </c>
      <c r="G146" s="29" t="s">
        <v>274</v>
      </c>
      <c r="H146" s="29" t="s">
        <v>505</v>
      </c>
    </row>
    <row r="147" spans="1:8" x14ac:dyDescent="0.6">
      <c r="A147" s="273">
        <v>43897.463888888888</v>
      </c>
      <c r="B147" s="43" t="s">
        <v>560</v>
      </c>
      <c r="C147" s="28">
        <v>4158483</v>
      </c>
      <c r="D147" s="28"/>
      <c r="E147" s="27" t="s">
        <v>274</v>
      </c>
      <c r="F147" s="27" t="s">
        <v>276</v>
      </c>
      <c r="G147" s="29" t="s">
        <v>274</v>
      </c>
      <c r="H147" s="29" t="s">
        <v>561</v>
      </c>
    </row>
    <row r="148" spans="1:8" x14ac:dyDescent="0.6">
      <c r="A148" s="273">
        <v>43897.481944444444</v>
      </c>
      <c r="B148" s="43" t="s">
        <v>562</v>
      </c>
      <c r="C148" s="28">
        <v>4176310</v>
      </c>
      <c r="D148" s="28"/>
      <c r="E148" s="27" t="s">
        <v>274</v>
      </c>
      <c r="F148" s="27" t="s">
        <v>276</v>
      </c>
      <c r="G148" s="29" t="s">
        <v>274</v>
      </c>
      <c r="H148" s="29" t="s">
        <v>457</v>
      </c>
    </row>
    <row r="149" spans="1:8" x14ac:dyDescent="0.6">
      <c r="A149" s="273">
        <v>43897.68472222222</v>
      </c>
      <c r="B149" s="43" t="s">
        <v>563</v>
      </c>
      <c r="C149" s="28">
        <v>3565435</v>
      </c>
      <c r="D149" s="28"/>
      <c r="E149" s="27" t="s">
        <v>274</v>
      </c>
      <c r="F149" s="29" t="s">
        <v>276</v>
      </c>
      <c r="G149" s="29" t="s">
        <v>248</v>
      </c>
      <c r="H149" s="29" t="s">
        <v>564</v>
      </c>
    </row>
    <row r="150" spans="1:8" x14ac:dyDescent="0.6">
      <c r="A150" s="273">
        <v>43897.729861111111</v>
      </c>
      <c r="B150" s="43" t="s">
        <v>565</v>
      </c>
      <c r="C150" s="28"/>
      <c r="D150" s="28">
        <v>143605</v>
      </c>
      <c r="E150" s="27" t="s">
        <v>342</v>
      </c>
      <c r="F150" s="33" t="s">
        <v>292</v>
      </c>
      <c r="G150" s="33" t="s">
        <v>342</v>
      </c>
      <c r="H150" s="33" t="s">
        <v>566</v>
      </c>
    </row>
    <row r="151" spans="1:8" x14ac:dyDescent="0.6">
      <c r="A151" s="273">
        <v>43898.631944444445</v>
      </c>
      <c r="B151" s="43" t="s">
        <v>567</v>
      </c>
      <c r="C151" s="28">
        <v>2677848</v>
      </c>
      <c r="D151" s="28"/>
      <c r="E151" s="27" t="s">
        <v>274</v>
      </c>
      <c r="F151" s="33" t="s">
        <v>275</v>
      </c>
      <c r="G151" s="33" t="s">
        <v>274</v>
      </c>
      <c r="H151" s="33" t="s">
        <v>304</v>
      </c>
    </row>
    <row r="152" spans="1:8" x14ac:dyDescent="0.6">
      <c r="A152" s="278">
        <v>43899.45208333333</v>
      </c>
      <c r="B152" s="43" t="s">
        <v>568</v>
      </c>
      <c r="C152" s="41">
        <v>4856155</v>
      </c>
      <c r="D152" s="41"/>
      <c r="E152" s="42" t="s">
        <v>274</v>
      </c>
      <c r="F152" s="33" t="s">
        <v>275</v>
      </c>
      <c r="G152" s="33" t="s">
        <v>274</v>
      </c>
      <c r="H152" s="33" t="s">
        <v>434</v>
      </c>
    </row>
    <row r="153" spans="1:8" x14ac:dyDescent="0.6">
      <c r="A153" s="273">
        <v>43899.46875</v>
      </c>
      <c r="B153" s="43" t="s">
        <v>401</v>
      </c>
      <c r="C153" s="28"/>
      <c r="D153" s="28">
        <v>967894</v>
      </c>
      <c r="E153" s="27" t="s">
        <v>342</v>
      </c>
      <c r="F153" s="29" t="s">
        <v>313</v>
      </c>
      <c r="G153" s="29" t="s">
        <v>343</v>
      </c>
      <c r="H153" s="29" t="s">
        <v>534</v>
      </c>
    </row>
    <row r="154" spans="1:8" x14ac:dyDescent="0.6">
      <c r="A154" s="279">
        <v>43900.57708333333</v>
      </c>
      <c r="B154" s="43" t="s">
        <v>569</v>
      </c>
      <c r="C154" s="30">
        <v>1492808</v>
      </c>
      <c r="D154" s="30"/>
      <c r="E154" s="42" t="s">
        <v>274</v>
      </c>
      <c r="F154" s="33" t="s">
        <v>275</v>
      </c>
      <c r="G154" s="33" t="s">
        <v>274</v>
      </c>
      <c r="H154" s="33" t="s">
        <v>570</v>
      </c>
    </row>
    <row r="155" spans="1:8" x14ac:dyDescent="0.6">
      <c r="A155" s="273">
        <v>43901.511111111111</v>
      </c>
      <c r="B155" s="43" t="s">
        <v>571</v>
      </c>
      <c r="C155" s="28">
        <v>2617160</v>
      </c>
      <c r="D155" s="28"/>
      <c r="E155" s="27" t="s">
        <v>274</v>
      </c>
      <c r="F155" s="29" t="s">
        <v>276</v>
      </c>
      <c r="G155" s="29" t="s">
        <v>274</v>
      </c>
      <c r="H155" s="29" t="s">
        <v>300</v>
      </c>
    </row>
    <row r="156" spans="1:8" x14ac:dyDescent="0.6">
      <c r="A156" s="273">
        <v>43901.759027777778</v>
      </c>
      <c r="B156" s="43" t="s">
        <v>572</v>
      </c>
      <c r="C156" s="28"/>
      <c r="D156" s="28">
        <v>800552</v>
      </c>
      <c r="E156" s="27" t="s">
        <v>59</v>
      </c>
      <c r="F156" s="29" t="s">
        <v>313</v>
      </c>
      <c r="G156" s="29" t="s">
        <v>59</v>
      </c>
      <c r="H156" s="29" t="s">
        <v>480</v>
      </c>
    </row>
    <row r="157" spans="1:8" x14ac:dyDescent="0.6">
      <c r="A157" s="273">
        <v>43902.383333333331</v>
      </c>
      <c r="B157" s="43" t="s">
        <v>573</v>
      </c>
      <c r="C157" s="28">
        <v>2682472</v>
      </c>
      <c r="D157" s="28"/>
      <c r="E157" s="27" t="s">
        <v>274</v>
      </c>
      <c r="F157" s="29" t="s">
        <v>276</v>
      </c>
      <c r="G157" s="29" t="s">
        <v>274</v>
      </c>
      <c r="H157" s="29" t="s">
        <v>564</v>
      </c>
    </row>
    <row r="158" spans="1:8" x14ac:dyDescent="0.6">
      <c r="A158" s="273">
        <v>43902.502083333333</v>
      </c>
      <c r="B158" s="43" t="s">
        <v>574</v>
      </c>
      <c r="C158" s="28"/>
      <c r="D158" s="28">
        <v>271611</v>
      </c>
      <c r="E158" s="27" t="s">
        <v>342</v>
      </c>
      <c r="F158" s="29" t="s">
        <v>313</v>
      </c>
      <c r="G158" s="29" t="s">
        <v>342</v>
      </c>
      <c r="H158" s="29" t="s">
        <v>575</v>
      </c>
    </row>
    <row r="159" spans="1:8" x14ac:dyDescent="0.6">
      <c r="A159" s="273">
        <v>43902.521527777775</v>
      </c>
      <c r="B159" s="43" t="s">
        <v>576</v>
      </c>
      <c r="C159" s="28">
        <v>3335421</v>
      </c>
      <c r="D159" s="28"/>
      <c r="E159" s="27" t="s">
        <v>274</v>
      </c>
      <c r="F159" s="29" t="s">
        <v>276</v>
      </c>
      <c r="G159" s="29" t="s">
        <v>274</v>
      </c>
      <c r="H159" s="29" t="s">
        <v>484</v>
      </c>
    </row>
    <row r="160" spans="1:8" x14ac:dyDescent="0.6">
      <c r="A160" s="273">
        <v>43903.584027777775</v>
      </c>
      <c r="B160" s="43" t="s">
        <v>577</v>
      </c>
      <c r="C160" s="28"/>
      <c r="D160" s="28">
        <v>1182836</v>
      </c>
      <c r="E160" s="27" t="s">
        <v>342</v>
      </c>
      <c r="F160" s="29" t="s">
        <v>313</v>
      </c>
      <c r="G160" s="29" t="s">
        <v>342</v>
      </c>
      <c r="H160" s="29" t="s">
        <v>491</v>
      </c>
    </row>
    <row r="161" spans="1:8" x14ac:dyDescent="0.6">
      <c r="A161" s="273">
        <v>43903.714583333334</v>
      </c>
      <c r="B161" s="43" t="s">
        <v>578</v>
      </c>
      <c r="C161" s="28">
        <v>1955258</v>
      </c>
      <c r="D161" s="28"/>
      <c r="E161" s="27" t="s">
        <v>274</v>
      </c>
      <c r="F161" s="29" t="s">
        <v>276</v>
      </c>
      <c r="G161" s="29" t="s">
        <v>274</v>
      </c>
      <c r="H161" s="29" t="s">
        <v>420</v>
      </c>
    </row>
    <row r="162" spans="1:8" x14ac:dyDescent="0.6">
      <c r="A162" s="273">
        <v>43903.743055555555</v>
      </c>
      <c r="B162" s="43" t="s">
        <v>579</v>
      </c>
      <c r="C162" s="28">
        <v>2804110</v>
      </c>
      <c r="D162" s="28"/>
      <c r="E162" s="27" t="s">
        <v>274</v>
      </c>
      <c r="F162" s="29" t="s">
        <v>276</v>
      </c>
      <c r="G162" s="29" t="s">
        <v>274</v>
      </c>
      <c r="H162" s="29" t="s">
        <v>439</v>
      </c>
    </row>
    <row r="163" spans="1:8" x14ac:dyDescent="0.6">
      <c r="A163" s="273">
        <v>43904.448611111111</v>
      </c>
      <c r="B163" s="43" t="s">
        <v>580</v>
      </c>
      <c r="C163" s="28"/>
      <c r="D163" s="28">
        <v>1267649</v>
      </c>
      <c r="E163" s="27" t="s">
        <v>71</v>
      </c>
      <c r="F163" s="29" t="s">
        <v>313</v>
      </c>
      <c r="G163" s="29" t="s">
        <v>71</v>
      </c>
      <c r="H163" s="29" t="s">
        <v>581</v>
      </c>
    </row>
    <row r="164" spans="1:8" x14ac:dyDescent="0.6">
      <c r="A164" s="273">
        <v>43904.548611111109</v>
      </c>
      <c r="B164" s="43" t="s">
        <v>582</v>
      </c>
      <c r="C164" s="28">
        <v>2797086</v>
      </c>
      <c r="D164" s="28"/>
      <c r="E164" s="27" t="s">
        <v>274</v>
      </c>
      <c r="F164" s="29" t="s">
        <v>276</v>
      </c>
      <c r="G164" s="29" t="s">
        <v>274</v>
      </c>
      <c r="H164" s="29" t="s">
        <v>414</v>
      </c>
    </row>
    <row r="165" spans="1:8" x14ac:dyDescent="0.6">
      <c r="A165" s="273">
        <v>43904.686111111114</v>
      </c>
      <c r="B165" s="43" t="s">
        <v>583</v>
      </c>
      <c r="C165" s="28"/>
      <c r="D165" s="28">
        <v>1325051</v>
      </c>
      <c r="E165" s="27" t="s">
        <v>291</v>
      </c>
      <c r="F165" s="29" t="s">
        <v>313</v>
      </c>
      <c r="G165" s="29" t="s">
        <v>291</v>
      </c>
      <c r="H165" s="29" t="s">
        <v>584</v>
      </c>
    </row>
    <row r="166" spans="1:8" x14ac:dyDescent="0.6">
      <c r="A166" s="273">
        <v>43904.739583333336</v>
      </c>
      <c r="B166" s="43" t="s">
        <v>585</v>
      </c>
      <c r="C166" s="28">
        <v>4485449</v>
      </c>
      <c r="D166" s="28"/>
      <c r="E166" s="27" t="s">
        <v>274</v>
      </c>
      <c r="F166" s="29" t="s">
        <v>276</v>
      </c>
      <c r="G166" s="29" t="s">
        <v>274</v>
      </c>
      <c r="H166" s="29" t="s">
        <v>586</v>
      </c>
    </row>
    <row r="167" spans="1:8" x14ac:dyDescent="0.6">
      <c r="A167" s="273">
        <v>43905.524305555555</v>
      </c>
      <c r="B167" s="43" t="s">
        <v>587</v>
      </c>
      <c r="C167" s="28"/>
      <c r="D167" s="28">
        <v>1300218</v>
      </c>
      <c r="E167" s="27" t="s">
        <v>312</v>
      </c>
      <c r="F167" s="29" t="s">
        <v>313</v>
      </c>
      <c r="G167" s="29" t="s">
        <v>312</v>
      </c>
      <c r="H167" s="29" t="s">
        <v>467</v>
      </c>
    </row>
    <row r="168" spans="1:8" x14ac:dyDescent="0.6">
      <c r="A168" s="274">
        <v>43905.568055555559</v>
      </c>
      <c r="B168" s="43" t="s">
        <v>588</v>
      </c>
      <c r="C168" s="30">
        <v>3673197</v>
      </c>
      <c r="D168" s="30"/>
      <c r="E168" s="31" t="s">
        <v>274</v>
      </c>
      <c r="F168" s="29" t="s">
        <v>276</v>
      </c>
      <c r="G168" s="29" t="s">
        <v>274</v>
      </c>
      <c r="H168" s="29" t="s">
        <v>406</v>
      </c>
    </row>
    <row r="169" spans="1:8" x14ac:dyDescent="0.6">
      <c r="A169" s="273">
        <v>43906.397916666669</v>
      </c>
      <c r="B169" s="43" t="s">
        <v>589</v>
      </c>
      <c r="C169" s="28"/>
      <c r="D169" s="28">
        <v>830382</v>
      </c>
      <c r="E169" s="27" t="s">
        <v>71</v>
      </c>
      <c r="F169" s="29" t="s">
        <v>313</v>
      </c>
      <c r="G169" s="29" t="s">
        <v>430</v>
      </c>
      <c r="H169" s="29" t="s">
        <v>446</v>
      </c>
    </row>
    <row r="170" spans="1:8" x14ac:dyDescent="0.6">
      <c r="A170" s="280">
        <v>43906.46875</v>
      </c>
      <c r="B170" s="43" t="s">
        <v>590</v>
      </c>
      <c r="C170" s="41"/>
      <c r="D170" s="41">
        <v>1865616</v>
      </c>
      <c r="E170" s="31" t="s">
        <v>291</v>
      </c>
      <c r="F170" s="27" t="s">
        <v>313</v>
      </c>
      <c r="G170" s="27" t="s">
        <v>362</v>
      </c>
      <c r="H170" s="29" t="s">
        <v>308</v>
      </c>
    </row>
    <row r="171" spans="1:8" x14ac:dyDescent="0.6">
      <c r="A171" s="273">
        <v>43906.709722222222</v>
      </c>
      <c r="B171" s="43" t="s">
        <v>591</v>
      </c>
      <c r="C171" s="28">
        <v>4004541</v>
      </c>
      <c r="D171" s="28"/>
      <c r="E171" s="27" t="s">
        <v>274</v>
      </c>
      <c r="F171" s="29" t="s">
        <v>276</v>
      </c>
      <c r="G171" s="29" t="s">
        <v>248</v>
      </c>
      <c r="H171" s="29" t="s">
        <v>501</v>
      </c>
    </row>
    <row r="172" spans="1:8" x14ac:dyDescent="0.6">
      <c r="A172" s="273">
        <v>43908.729166666664</v>
      </c>
      <c r="B172" s="43" t="s">
        <v>592</v>
      </c>
      <c r="C172" s="28"/>
      <c r="D172" s="28">
        <v>596534</v>
      </c>
      <c r="E172" s="27" t="s">
        <v>312</v>
      </c>
      <c r="F172" s="29" t="s">
        <v>313</v>
      </c>
      <c r="G172" s="29" t="s">
        <v>376</v>
      </c>
      <c r="H172" s="29" t="s">
        <v>593</v>
      </c>
    </row>
    <row r="173" spans="1:8" x14ac:dyDescent="0.6">
      <c r="A173" s="273">
        <v>43909.384722222225</v>
      </c>
      <c r="B173" s="43" t="s">
        <v>594</v>
      </c>
      <c r="C173" s="28">
        <v>3381393</v>
      </c>
      <c r="D173" s="28"/>
      <c r="E173" s="27" t="s">
        <v>274</v>
      </c>
      <c r="F173" s="29" t="s">
        <v>276</v>
      </c>
      <c r="G173" s="29" t="s">
        <v>248</v>
      </c>
      <c r="H173" s="29" t="s">
        <v>330</v>
      </c>
    </row>
    <row r="174" spans="1:8" x14ac:dyDescent="0.6">
      <c r="A174" s="273">
        <v>43909.407638888886</v>
      </c>
      <c r="B174" s="43" t="s">
        <v>595</v>
      </c>
      <c r="C174" s="28">
        <v>1722230</v>
      </c>
      <c r="D174" s="28"/>
      <c r="E174" s="27" t="s">
        <v>274</v>
      </c>
      <c r="F174" s="29" t="s">
        <v>276</v>
      </c>
      <c r="G174" s="29" t="s">
        <v>248</v>
      </c>
      <c r="H174" s="29" t="s">
        <v>596</v>
      </c>
    </row>
    <row r="175" spans="1:8" x14ac:dyDescent="0.6">
      <c r="A175" s="273">
        <v>43909.482638888891</v>
      </c>
      <c r="B175" s="43" t="s">
        <v>597</v>
      </c>
      <c r="C175" s="28">
        <v>4703080</v>
      </c>
      <c r="D175" s="28"/>
      <c r="E175" s="27" t="s">
        <v>274</v>
      </c>
      <c r="F175" s="52" t="s">
        <v>276</v>
      </c>
      <c r="G175" s="52" t="s">
        <v>248</v>
      </c>
      <c r="H175" s="53" t="s">
        <v>281</v>
      </c>
    </row>
    <row r="176" spans="1:8" x14ac:dyDescent="0.6">
      <c r="A176" s="273">
        <v>43909.53402777778</v>
      </c>
      <c r="B176" s="43" t="s">
        <v>598</v>
      </c>
      <c r="C176" s="28"/>
      <c r="D176" s="28">
        <v>538484</v>
      </c>
      <c r="E176" s="27" t="s">
        <v>291</v>
      </c>
      <c r="F176" s="27" t="s">
        <v>313</v>
      </c>
      <c r="G176" s="29" t="s">
        <v>291</v>
      </c>
      <c r="H176" s="29" t="s">
        <v>379</v>
      </c>
    </row>
    <row r="177" spans="1:8" x14ac:dyDescent="0.6">
      <c r="A177" s="273">
        <v>43910.53125</v>
      </c>
      <c r="B177" s="43" t="s">
        <v>599</v>
      </c>
      <c r="C177" s="28">
        <v>941154</v>
      </c>
      <c r="D177" s="28"/>
      <c r="E177" s="27" t="s">
        <v>274</v>
      </c>
      <c r="F177" s="27" t="s">
        <v>276</v>
      </c>
      <c r="G177" s="29" t="s">
        <v>274</v>
      </c>
      <c r="H177" s="29" t="s">
        <v>519</v>
      </c>
    </row>
    <row r="178" spans="1:8" x14ac:dyDescent="0.6">
      <c r="A178" s="273">
        <v>43910.604166666664</v>
      </c>
      <c r="B178" s="43" t="s">
        <v>600</v>
      </c>
      <c r="C178" s="45">
        <v>1101511</v>
      </c>
      <c r="D178" s="28"/>
      <c r="E178" s="27" t="s">
        <v>274</v>
      </c>
      <c r="F178" s="33" t="s">
        <v>283</v>
      </c>
      <c r="G178" s="33" t="s">
        <v>274</v>
      </c>
      <c r="H178" s="33" t="s">
        <v>596</v>
      </c>
    </row>
    <row r="179" spans="1:8" x14ac:dyDescent="0.6">
      <c r="A179" s="273">
        <v>43911.6</v>
      </c>
      <c r="B179" s="43" t="s">
        <v>601</v>
      </c>
      <c r="C179" s="45">
        <v>3589619</v>
      </c>
      <c r="D179" s="28"/>
      <c r="E179" s="27" t="s">
        <v>274</v>
      </c>
      <c r="F179" s="33" t="s">
        <v>283</v>
      </c>
      <c r="G179" s="33" t="s">
        <v>274</v>
      </c>
      <c r="H179" s="33" t="s">
        <v>464</v>
      </c>
    </row>
    <row r="180" spans="1:8" x14ac:dyDescent="0.6">
      <c r="A180" s="273">
        <v>43911.718055555553</v>
      </c>
      <c r="B180" s="43" t="s">
        <v>602</v>
      </c>
      <c r="C180" s="28">
        <v>4446157</v>
      </c>
      <c r="D180" s="28"/>
      <c r="E180" s="27" t="s">
        <v>274</v>
      </c>
      <c r="F180" s="27" t="s">
        <v>276</v>
      </c>
      <c r="G180" s="29" t="s">
        <v>274</v>
      </c>
      <c r="H180" s="29" t="s">
        <v>510</v>
      </c>
    </row>
    <row r="181" spans="1:8" x14ac:dyDescent="0.6">
      <c r="A181" s="273">
        <v>43912.496527777781</v>
      </c>
      <c r="B181" s="43" t="s">
        <v>603</v>
      </c>
      <c r="C181" s="28">
        <v>3985285</v>
      </c>
      <c r="D181" s="28"/>
      <c r="E181" s="27" t="s">
        <v>274</v>
      </c>
      <c r="F181" s="27" t="s">
        <v>276</v>
      </c>
      <c r="G181" s="29" t="s">
        <v>274</v>
      </c>
      <c r="H181" s="29" t="s">
        <v>470</v>
      </c>
    </row>
    <row r="182" spans="1:8" x14ac:dyDescent="0.6">
      <c r="A182" s="273">
        <v>43912.67291666667</v>
      </c>
      <c r="B182" s="43" t="s">
        <v>604</v>
      </c>
      <c r="C182" s="28">
        <v>4300110</v>
      </c>
      <c r="D182" s="28"/>
      <c r="E182" s="27" t="s">
        <v>274</v>
      </c>
      <c r="F182" s="48" t="s">
        <v>276</v>
      </c>
      <c r="G182" s="48" t="s">
        <v>248</v>
      </c>
      <c r="H182" s="53" t="s">
        <v>605</v>
      </c>
    </row>
    <row r="183" spans="1:8" x14ac:dyDescent="0.6">
      <c r="A183" s="273">
        <v>43912.774305555555</v>
      </c>
      <c r="B183" s="43" t="s">
        <v>606</v>
      </c>
      <c r="C183" s="28">
        <v>516283</v>
      </c>
      <c r="D183" s="28"/>
      <c r="E183" s="27" t="s">
        <v>274</v>
      </c>
      <c r="F183" s="48" t="s">
        <v>276</v>
      </c>
      <c r="G183" s="48" t="s">
        <v>248</v>
      </c>
      <c r="H183" s="53" t="s">
        <v>607</v>
      </c>
    </row>
    <row r="184" spans="1:8" x14ac:dyDescent="0.6">
      <c r="A184" s="273">
        <v>43913.430555555555</v>
      </c>
      <c r="B184" s="43" t="s">
        <v>500</v>
      </c>
      <c r="C184" s="28">
        <v>3255510</v>
      </c>
      <c r="D184" s="28"/>
      <c r="E184" s="27" t="s">
        <v>274</v>
      </c>
      <c r="F184" s="27" t="s">
        <v>276</v>
      </c>
      <c r="G184" s="29" t="s">
        <v>274</v>
      </c>
      <c r="H184" s="29" t="s">
        <v>432</v>
      </c>
    </row>
    <row r="185" spans="1:8" x14ac:dyDescent="0.6">
      <c r="A185" s="273">
        <v>43913.465277777781</v>
      </c>
      <c r="B185" s="43" t="s">
        <v>608</v>
      </c>
      <c r="C185" s="28">
        <v>1787979</v>
      </c>
      <c r="D185" s="28"/>
      <c r="E185" s="27" t="s">
        <v>274</v>
      </c>
      <c r="F185" s="29" t="s">
        <v>276</v>
      </c>
      <c r="G185" s="29" t="s">
        <v>248</v>
      </c>
      <c r="H185" s="29" t="s">
        <v>455</v>
      </c>
    </row>
    <row r="186" spans="1:8" x14ac:dyDescent="0.6">
      <c r="A186" s="273">
        <v>43913.486805555556</v>
      </c>
      <c r="B186" s="43" t="s">
        <v>609</v>
      </c>
      <c r="C186" s="28">
        <v>4784218</v>
      </c>
      <c r="D186" s="28"/>
      <c r="E186" s="27" t="s">
        <v>274</v>
      </c>
      <c r="F186" s="27" t="s">
        <v>283</v>
      </c>
      <c r="G186" s="29" t="s">
        <v>274</v>
      </c>
      <c r="H186" s="29" t="s">
        <v>420</v>
      </c>
    </row>
    <row r="187" spans="1:8" x14ac:dyDescent="0.6">
      <c r="A187" s="273">
        <v>43913.744444444441</v>
      </c>
      <c r="B187" s="43" t="s">
        <v>610</v>
      </c>
      <c r="C187" s="28"/>
      <c r="D187" s="28">
        <v>873958</v>
      </c>
      <c r="E187" s="27" t="s">
        <v>71</v>
      </c>
      <c r="F187" s="27" t="s">
        <v>293</v>
      </c>
      <c r="G187" s="29" t="s">
        <v>71</v>
      </c>
      <c r="H187" s="29" t="s">
        <v>452</v>
      </c>
    </row>
    <row r="188" spans="1:8" x14ac:dyDescent="0.6">
      <c r="A188" s="273">
        <v>43914.574999999997</v>
      </c>
      <c r="B188" s="43" t="s">
        <v>611</v>
      </c>
      <c r="C188" s="28"/>
      <c r="D188" s="28">
        <v>1176812</v>
      </c>
      <c r="E188" s="27" t="s">
        <v>312</v>
      </c>
      <c r="F188" s="27" t="s">
        <v>293</v>
      </c>
      <c r="G188" s="29" t="s">
        <v>312</v>
      </c>
      <c r="H188" s="29" t="s">
        <v>612</v>
      </c>
    </row>
    <row r="189" spans="1:8" x14ac:dyDescent="0.6">
      <c r="A189" s="273">
        <v>43914.76458333333</v>
      </c>
      <c r="B189" s="43" t="s">
        <v>546</v>
      </c>
      <c r="C189" s="28"/>
      <c r="D189" s="28">
        <v>1789805</v>
      </c>
      <c r="E189" s="27" t="s">
        <v>312</v>
      </c>
      <c r="F189" s="27" t="s">
        <v>293</v>
      </c>
      <c r="G189" s="29" t="s">
        <v>312</v>
      </c>
      <c r="H189" s="29" t="s">
        <v>400</v>
      </c>
    </row>
    <row r="190" spans="1:8" x14ac:dyDescent="0.6">
      <c r="A190" s="273">
        <v>43914.780555555553</v>
      </c>
      <c r="B190" s="43" t="s">
        <v>367</v>
      </c>
      <c r="C190" s="28">
        <v>3379122</v>
      </c>
      <c r="D190" s="28"/>
      <c r="E190" s="27" t="s">
        <v>274</v>
      </c>
      <c r="F190" s="27" t="s">
        <v>283</v>
      </c>
      <c r="G190" s="29" t="s">
        <v>274</v>
      </c>
      <c r="H190" s="29" t="s">
        <v>369</v>
      </c>
    </row>
    <row r="191" spans="1:8" x14ac:dyDescent="0.6">
      <c r="A191" s="273">
        <v>43916.617361111108</v>
      </c>
      <c r="B191" s="43" t="s">
        <v>613</v>
      </c>
      <c r="C191" s="28">
        <v>2560851</v>
      </c>
      <c r="D191" s="28"/>
      <c r="E191" s="27" t="s">
        <v>274</v>
      </c>
      <c r="F191" s="27" t="s">
        <v>283</v>
      </c>
      <c r="G191" s="29" t="s">
        <v>274</v>
      </c>
      <c r="H191" s="29" t="s">
        <v>614</v>
      </c>
    </row>
    <row r="192" spans="1:8" x14ac:dyDescent="0.6">
      <c r="A192" s="273">
        <v>43916.728472222225</v>
      </c>
      <c r="B192" s="43" t="s">
        <v>615</v>
      </c>
      <c r="C192" s="28">
        <v>4733670</v>
      </c>
      <c r="D192" s="28"/>
      <c r="E192" s="27" t="s">
        <v>274</v>
      </c>
      <c r="F192" s="27" t="s">
        <v>283</v>
      </c>
      <c r="G192" s="29" t="s">
        <v>274</v>
      </c>
      <c r="H192" s="29" t="s">
        <v>510</v>
      </c>
    </row>
    <row r="193" spans="1:8" x14ac:dyDescent="0.6">
      <c r="A193" s="273">
        <v>43916.752083333333</v>
      </c>
      <c r="B193" s="43" t="s">
        <v>438</v>
      </c>
      <c r="C193" s="28">
        <v>2656981</v>
      </c>
      <c r="D193" s="28"/>
      <c r="E193" s="27" t="s">
        <v>274</v>
      </c>
      <c r="F193" s="29" t="s">
        <v>276</v>
      </c>
      <c r="G193" s="29" t="s">
        <v>248</v>
      </c>
      <c r="H193" s="29" t="s">
        <v>616</v>
      </c>
    </row>
    <row r="194" spans="1:8" x14ac:dyDescent="0.6">
      <c r="A194" s="273">
        <v>43917.509722222225</v>
      </c>
      <c r="B194" s="43" t="s">
        <v>617</v>
      </c>
      <c r="C194" s="28">
        <v>2186108</v>
      </c>
      <c r="D194" s="28"/>
      <c r="E194" s="27" t="s">
        <v>274</v>
      </c>
      <c r="F194" s="29" t="s">
        <v>276</v>
      </c>
      <c r="G194" s="29" t="s">
        <v>248</v>
      </c>
      <c r="H194" s="29" t="s">
        <v>536</v>
      </c>
    </row>
    <row r="195" spans="1:8" x14ac:dyDescent="0.6">
      <c r="A195" s="273">
        <v>43917.741666666669</v>
      </c>
      <c r="B195" s="43" t="s">
        <v>618</v>
      </c>
      <c r="C195" s="28">
        <v>3483706</v>
      </c>
      <c r="D195" s="28"/>
      <c r="E195" s="27" t="s">
        <v>274</v>
      </c>
      <c r="F195" s="29" t="s">
        <v>276</v>
      </c>
      <c r="G195" s="29" t="s">
        <v>248</v>
      </c>
      <c r="H195" s="29" t="s">
        <v>619</v>
      </c>
    </row>
    <row r="196" spans="1:8" x14ac:dyDescent="0.6">
      <c r="A196" s="273">
        <v>43918.455555555556</v>
      </c>
      <c r="B196" s="43" t="s">
        <v>620</v>
      </c>
      <c r="C196" s="28"/>
      <c r="D196" s="28">
        <v>341727</v>
      </c>
      <c r="E196" s="27" t="s">
        <v>342</v>
      </c>
      <c r="F196" s="29" t="s">
        <v>313</v>
      </c>
      <c r="G196" s="29" t="s">
        <v>343</v>
      </c>
      <c r="H196" s="29" t="s">
        <v>322</v>
      </c>
    </row>
    <row r="197" spans="1:8" x14ac:dyDescent="0.6">
      <c r="A197" s="273">
        <v>43922.380555555559</v>
      </c>
      <c r="B197" s="43" t="s">
        <v>621</v>
      </c>
      <c r="C197" s="28">
        <v>3230567</v>
      </c>
      <c r="D197" s="28"/>
      <c r="E197" s="27" t="s">
        <v>274</v>
      </c>
      <c r="F197" s="29" t="s">
        <v>276</v>
      </c>
      <c r="G197" s="29" t="s">
        <v>248</v>
      </c>
      <c r="H197" s="29" t="s">
        <v>623</v>
      </c>
    </row>
    <row r="198" spans="1:8" x14ac:dyDescent="0.6">
      <c r="A198" s="273">
        <v>43923.42291666667</v>
      </c>
      <c r="B198" s="43" t="s">
        <v>473</v>
      </c>
      <c r="C198" s="28">
        <v>3530649</v>
      </c>
      <c r="D198" s="28"/>
      <c r="E198" s="27" t="s">
        <v>274</v>
      </c>
      <c r="F198" s="29" t="s">
        <v>276</v>
      </c>
      <c r="G198" s="29" t="s">
        <v>248</v>
      </c>
      <c r="H198" s="29" t="s">
        <v>624</v>
      </c>
    </row>
    <row r="199" spans="1:8" x14ac:dyDescent="0.6">
      <c r="A199" s="273">
        <v>43923.576388888891</v>
      </c>
      <c r="B199" s="43" t="s">
        <v>625</v>
      </c>
      <c r="C199" s="28"/>
      <c r="D199" s="28">
        <v>517547</v>
      </c>
      <c r="E199" s="27" t="s">
        <v>342</v>
      </c>
      <c r="F199" s="29" t="s">
        <v>313</v>
      </c>
      <c r="G199" s="29" t="s">
        <v>343</v>
      </c>
      <c r="H199" s="29" t="s">
        <v>491</v>
      </c>
    </row>
    <row r="200" spans="1:8" x14ac:dyDescent="0.6">
      <c r="A200" s="273">
        <v>43923.642361111109</v>
      </c>
      <c r="B200" s="43" t="s">
        <v>626</v>
      </c>
      <c r="C200" s="28"/>
      <c r="D200" s="28">
        <v>1075732</v>
      </c>
      <c r="E200" s="27" t="s">
        <v>291</v>
      </c>
      <c r="F200" s="29" t="s">
        <v>313</v>
      </c>
      <c r="G200" s="29" t="s">
        <v>362</v>
      </c>
      <c r="H200" s="29" t="s">
        <v>337</v>
      </c>
    </row>
    <row r="201" spans="1:8" x14ac:dyDescent="0.6">
      <c r="A201" s="273">
        <v>43923.693749999999</v>
      </c>
      <c r="B201" s="43" t="s">
        <v>383</v>
      </c>
      <c r="C201" s="28">
        <v>3019747</v>
      </c>
      <c r="D201" s="28"/>
      <c r="E201" s="27" t="s">
        <v>274</v>
      </c>
      <c r="F201" s="29" t="s">
        <v>276</v>
      </c>
      <c r="G201" s="29" t="s">
        <v>248</v>
      </c>
      <c r="H201" s="29" t="s">
        <v>627</v>
      </c>
    </row>
    <row r="202" spans="1:8" x14ac:dyDescent="0.6">
      <c r="A202" s="273">
        <v>43923.776388888888</v>
      </c>
      <c r="B202" s="43" t="s">
        <v>628</v>
      </c>
      <c r="C202" s="28">
        <v>3257217</v>
      </c>
      <c r="D202" s="28"/>
      <c r="E202" s="27" t="s">
        <v>274</v>
      </c>
      <c r="F202" s="29" t="s">
        <v>276</v>
      </c>
      <c r="G202" s="48" t="s">
        <v>248</v>
      </c>
      <c r="H202" s="29" t="s">
        <v>289</v>
      </c>
    </row>
    <row r="203" spans="1:8" x14ac:dyDescent="0.6">
      <c r="A203" s="273">
        <v>43924.382638888892</v>
      </c>
      <c r="B203" s="43" t="s">
        <v>629</v>
      </c>
      <c r="C203" s="28"/>
      <c r="D203" s="28">
        <v>510586</v>
      </c>
      <c r="E203" s="27" t="s">
        <v>291</v>
      </c>
      <c r="F203" s="54" t="s">
        <v>313</v>
      </c>
      <c r="G203" s="47" t="s">
        <v>362</v>
      </c>
      <c r="H203" s="29" t="s">
        <v>630</v>
      </c>
    </row>
    <row r="204" spans="1:8" x14ac:dyDescent="0.6">
      <c r="A204" s="273">
        <v>43924.481249999997</v>
      </c>
      <c r="B204" s="43" t="s">
        <v>631</v>
      </c>
      <c r="C204" s="28">
        <v>4149113</v>
      </c>
      <c r="D204" s="28"/>
      <c r="E204" s="27" t="s">
        <v>274</v>
      </c>
      <c r="F204" s="54" t="s">
        <v>276</v>
      </c>
      <c r="G204" s="54" t="s">
        <v>248</v>
      </c>
      <c r="H204" s="29" t="s">
        <v>558</v>
      </c>
    </row>
    <row r="205" spans="1:8" x14ac:dyDescent="0.6">
      <c r="A205" s="273">
        <v>43925.680555555555</v>
      </c>
      <c r="B205" s="43" t="s">
        <v>632</v>
      </c>
      <c r="C205" s="28">
        <v>1717384</v>
      </c>
      <c r="D205" s="28"/>
      <c r="E205" s="27" t="s">
        <v>274</v>
      </c>
      <c r="F205" s="27" t="s">
        <v>276</v>
      </c>
      <c r="G205" s="29" t="s">
        <v>274</v>
      </c>
      <c r="H205" s="29" t="s">
        <v>391</v>
      </c>
    </row>
    <row r="206" spans="1:8" x14ac:dyDescent="0.6">
      <c r="A206" s="273">
        <v>43925.776388888888</v>
      </c>
      <c r="B206" s="43" t="s">
        <v>633</v>
      </c>
      <c r="C206" s="45">
        <v>3917433</v>
      </c>
      <c r="D206" s="28"/>
      <c r="E206" s="27" t="s">
        <v>274</v>
      </c>
      <c r="F206" s="33" t="s">
        <v>283</v>
      </c>
      <c r="G206" s="33" t="s">
        <v>274</v>
      </c>
      <c r="H206" s="33" t="s">
        <v>570</v>
      </c>
    </row>
    <row r="207" spans="1:8" x14ac:dyDescent="0.6">
      <c r="A207" s="273">
        <v>43926.385416666664</v>
      </c>
      <c r="B207" s="43" t="s">
        <v>483</v>
      </c>
      <c r="C207" s="45">
        <v>4339888</v>
      </c>
      <c r="D207" s="28"/>
      <c r="E207" s="27" t="s">
        <v>274</v>
      </c>
      <c r="F207" s="33" t="s">
        <v>283</v>
      </c>
      <c r="G207" s="33" t="s">
        <v>274</v>
      </c>
      <c r="H207" s="33" t="s">
        <v>634</v>
      </c>
    </row>
    <row r="208" spans="1:8" x14ac:dyDescent="0.6">
      <c r="A208" s="273">
        <v>43926.52847222222</v>
      </c>
      <c r="B208" s="43" t="s">
        <v>635</v>
      </c>
      <c r="C208" s="45"/>
      <c r="D208" s="28">
        <v>1547921</v>
      </c>
      <c r="E208" s="27" t="s">
        <v>59</v>
      </c>
      <c r="F208" s="33" t="s">
        <v>293</v>
      </c>
      <c r="G208" s="33" t="s">
        <v>59</v>
      </c>
      <c r="H208" s="33" t="s">
        <v>363</v>
      </c>
    </row>
    <row r="209" spans="1:8" x14ac:dyDescent="0.6">
      <c r="A209" s="273">
        <v>43927.400694444441</v>
      </c>
      <c r="B209" s="43" t="s">
        <v>636</v>
      </c>
      <c r="C209" s="45"/>
      <c r="D209" s="28">
        <v>961764</v>
      </c>
      <c r="E209" s="27" t="s">
        <v>342</v>
      </c>
      <c r="F209" s="33" t="s">
        <v>293</v>
      </c>
      <c r="G209" s="33" t="s">
        <v>342</v>
      </c>
      <c r="H209" s="33" t="s">
        <v>637</v>
      </c>
    </row>
    <row r="210" spans="1:8" x14ac:dyDescent="0.6">
      <c r="A210" s="273">
        <v>43927.736805555556</v>
      </c>
      <c r="B210" s="43" t="s">
        <v>638</v>
      </c>
      <c r="C210" s="28">
        <v>3775204</v>
      </c>
      <c r="D210" s="28"/>
      <c r="E210" s="27" t="s">
        <v>274</v>
      </c>
      <c r="F210" s="29" t="s">
        <v>276</v>
      </c>
      <c r="G210" s="29" t="s">
        <v>274</v>
      </c>
      <c r="H210" s="29" t="s">
        <v>639</v>
      </c>
    </row>
    <row r="211" spans="1:8" ht="22.5" x14ac:dyDescent="0.6">
      <c r="A211" s="273">
        <v>43928.465277777781</v>
      </c>
      <c r="B211" s="27" t="s">
        <v>601</v>
      </c>
      <c r="C211" s="28">
        <v>2225125</v>
      </c>
      <c r="D211" s="28"/>
      <c r="E211" s="27" t="s">
        <v>274</v>
      </c>
      <c r="F211" s="27" t="s">
        <v>283</v>
      </c>
      <c r="G211" s="29" t="s">
        <v>274</v>
      </c>
      <c r="H211" s="29" t="s">
        <v>634</v>
      </c>
    </row>
    <row r="212" spans="1:8" ht="22.5" x14ac:dyDescent="0.6">
      <c r="A212" s="273">
        <v>43928.519444444442</v>
      </c>
      <c r="B212" s="27" t="s">
        <v>640</v>
      </c>
      <c r="C212" s="28"/>
      <c r="D212" s="28">
        <v>1601755</v>
      </c>
      <c r="E212" s="27" t="s">
        <v>312</v>
      </c>
      <c r="F212" s="27" t="s">
        <v>313</v>
      </c>
      <c r="G212" s="27" t="s">
        <v>376</v>
      </c>
      <c r="H212" s="29" t="s">
        <v>642</v>
      </c>
    </row>
    <row r="213" spans="1:8" ht="22.5" x14ac:dyDescent="0.6">
      <c r="A213" s="273">
        <v>43931.571527777778</v>
      </c>
      <c r="B213" s="27" t="s">
        <v>643</v>
      </c>
      <c r="C213" s="28">
        <v>4140257</v>
      </c>
      <c r="D213" s="28"/>
      <c r="E213" s="27" t="s">
        <v>274</v>
      </c>
      <c r="F213" s="27" t="s">
        <v>276</v>
      </c>
      <c r="G213" s="27" t="s">
        <v>248</v>
      </c>
      <c r="H213" s="29" t="s">
        <v>605</v>
      </c>
    </row>
    <row r="214" spans="1:8" ht="22.5" x14ac:dyDescent="0.6">
      <c r="A214" s="273">
        <v>43932.65625</v>
      </c>
      <c r="B214" s="27" t="s">
        <v>603</v>
      </c>
      <c r="C214" s="28">
        <v>1758357</v>
      </c>
      <c r="D214" s="28"/>
      <c r="E214" s="27" t="s">
        <v>274</v>
      </c>
      <c r="F214" s="29" t="s">
        <v>276</v>
      </c>
      <c r="G214" s="29" t="s">
        <v>248</v>
      </c>
      <c r="H214" s="29" t="s">
        <v>627</v>
      </c>
    </row>
    <row r="215" spans="1:8" ht="22.5" x14ac:dyDescent="0.6">
      <c r="A215" s="273">
        <v>43933.680555555555</v>
      </c>
      <c r="B215" s="27" t="s">
        <v>644</v>
      </c>
      <c r="C215" s="28">
        <v>2880021</v>
      </c>
      <c r="D215" s="28"/>
      <c r="E215" s="27" t="s">
        <v>274</v>
      </c>
      <c r="F215" s="29" t="s">
        <v>276</v>
      </c>
      <c r="G215" s="29" t="s">
        <v>248</v>
      </c>
      <c r="H215" s="29" t="s">
        <v>552</v>
      </c>
    </row>
    <row r="216" spans="1:8" ht="22.5" x14ac:dyDescent="0.6">
      <c r="A216" s="273">
        <v>43934.507638888892</v>
      </c>
      <c r="B216" s="27" t="s">
        <v>645</v>
      </c>
      <c r="C216" s="28">
        <v>1619184</v>
      </c>
      <c r="D216" s="28"/>
      <c r="E216" s="27" t="s">
        <v>274</v>
      </c>
      <c r="F216" s="29" t="s">
        <v>276</v>
      </c>
      <c r="G216" s="29" t="s">
        <v>248</v>
      </c>
      <c r="H216" s="29" t="s">
        <v>647</v>
      </c>
    </row>
    <row r="217" spans="1:8" ht="22.5" x14ac:dyDescent="0.6">
      <c r="A217" s="273">
        <v>43934.670138888891</v>
      </c>
      <c r="B217" s="27" t="s">
        <v>648</v>
      </c>
      <c r="C217" s="28">
        <v>3769935</v>
      </c>
      <c r="D217" s="28"/>
      <c r="E217" s="27" t="s">
        <v>274</v>
      </c>
      <c r="F217" s="29" t="s">
        <v>276</v>
      </c>
      <c r="G217" s="29" t="s">
        <v>248</v>
      </c>
      <c r="H217" s="29" t="s">
        <v>649</v>
      </c>
    </row>
    <row r="218" spans="1:8" ht="22.5" x14ac:dyDescent="0.6">
      <c r="A218" s="274">
        <v>43936.677083333336</v>
      </c>
      <c r="B218" s="27" t="s">
        <v>650</v>
      </c>
      <c r="C218" s="30">
        <v>3353158</v>
      </c>
      <c r="D218" s="30"/>
      <c r="E218" s="31" t="s">
        <v>274</v>
      </c>
      <c r="F218" s="29" t="s">
        <v>283</v>
      </c>
      <c r="G218" s="29" t="s">
        <v>284</v>
      </c>
      <c r="H218" s="29" t="s">
        <v>542</v>
      </c>
    </row>
    <row r="219" spans="1:8" ht="22.5" x14ac:dyDescent="0.6">
      <c r="A219" s="273">
        <v>43937.386111111111</v>
      </c>
      <c r="B219" s="27" t="s">
        <v>590</v>
      </c>
      <c r="C219" s="28"/>
      <c r="D219" s="28">
        <v>325751</v>
      </c>
      <c r="E219" s="27" t="s">
        <v>291</v>
      </c>
      <c r="F219" s="27" t="s">
        <v>293</v>
      </c>
      <c r="G219" s="29" t="s">
        <v>291</v>
      </c>
      <c r="H219" s="29" t="s">
        <v>612</v>
      </c>
    </row>
    <row r="220" spans="1:8" ht="22.5" x14ac:dyDescent="0.6">
      <c r="A220" s="273">
        <v>43937.430555555555</v>
      </c>
      <c r="B220" s="27" t="s">
        <v>651</v>
      </c>
      <c r="C220" s="28"/>
      <c r="D220" s="28">
        <v>654638</v>
      </c>
      <c r="E220" s="27" t="s">
        <v>71</v>
      </c>
      <c r="F220" s="33" t="s">
        <v>293</v>
      </c>
      <c r="G220" s="33" t="s">
        <v>71</v>
      </c>
      <c r="H220" s="33" t="s">
        <v>393</v>
      </c>
    </row>
    <row r="221" spans="1:8" ht="22.5" x14ac:dyDescent="0.6">
      <c r="A221" s="273">
        <v>43937.519444444442</v>
      </c>
      <c r="B221" s="27" t="s">
        <v>652</v>
      </c>
      <c r="C221" s="28"/>
      <c r="D221" s="28">
        <v>414909</v>
      </c>
      <c r="E221" s="27" t="s">
        <v>312</v>
      </c>
      <c r="F221" s="27" t="s">
        <v>313</v>
      </c>
      <c r="G221" s="29" t="s">
        <v>312</v>
      </c>
      <c r="H221" s="29" t="s">
        <v>653</v>
      </c>
    </row>
    <row r="222" spans="1:8" ht="22.5" x14ac:dyDescent="0.6">
      <c r="A222" s="273">
        <v>43937.577777777777</v>
      </c>
      <c r="B222" s="27" t="s">
        <v>654</v>
      </c>
      <c r="C222" s="28"/>
      <c r="D222" s="28">
        <v>962241</v>
      </c>
      <c r="E222" s="27" t="s">
        <v>312</v>
      </c>
      <c r="F222" s="27" t="s">
        <v>313</v>
      </c>
      <c r="G222" s="29" t="s">
        <v>312</v>
      </c>
      <c r="H222" s="29" t="s">
        <v>324</v>
      </c>
    </row>
    <row r="223" spans="1:8" ht="22.5" x14ac:dyDescent="0.6">
      <c r="A223" s="273">
        <v>43937.652083333334</v>
      </c>
      <c r="B223" s="27" t="s">
        <v>655</v>
      </c>
      <c r="C223" s="28"/>
      <c r="D223" s="28">
        <v>1414416</v>
      </c>
      <c r="E223" s="27" t="s">
        <v>312</v>
      </c>
      <c r="F223" s="27" t="s">
        <v>313</v>
      </c>
      <c r="G223" s="29" t="s">
        <v>312</v>
      </c>
      <c r="H223" s="29" t="s">
        <v>344</v>
      </c>
    </row>
    <row r="224" spans="1:8" ht="22.5" x14ac:dyDescent="0.6">
      <c r="A224" s="273">
        <v>43937.671527777777</v>
      </c>
      <c r="B224" s="27" t="s">
        <v>495</v>
      </c>
      <c r="C224" s="28">
        <v>4850274</v>
      </c>
      <c r="D224" s="28"/>
      <c r="E224" s="27" t="s">
        <v>274</v>
      </c>
      <c r="F224" s="27" t="s">
        <v>276</v>
      </c>
      <c r="G224" s="29" t="s">
        <v>274</v>
      </c>
      <c r="H224" s="29" t="s">
        <v>428</v>
      </c>
    </row>
    <row r="225" spans="1:8" ht="22.5" x14ac:dyDescent="0.6">
      <c r="A225" s="273">
        <v>43937.673611111109</v>
      </c>
      <c r="B225" s="27" t="s">
        <v>656</v>
      </c>
      <c r="C225" s="28">
        <v>2200130</v>
      </c>
      <c r="D225" s="28"/>
      <c r="E225" s="27" t="s">
        <v>274</v>
      </c>
      <c r="F225" s="27" t="s">
        <v>276</v>
      </c>
      <c r="G225" s="29" t="s">
        <v>274</v>
      </c>
      <c r="H225" s="29" t="s">
        <v>464</v>
      </c>
    </row>
    <row r="226" spans="1:8" ht="22.5" x14ac:dyDescent="0.6">
      <c r="A226" s="273">
        <v>43938.565972222219</v>
      </c>
      <c r="B226" s="27" t="s">
        <v>657</v>
      </c>
      <c r="C226" s="28">
        <v>2571499</v>
      </c>
      <c r="D226" s="28"/>
      <c r="E226" s="27" t="s">
        <v>274</v>
      </c>
      <c r="F226" s="27" t="s">
        <v>276</v>
      </c>
      <c r="G226" s="29" t="s">
        <v>274</v>
      </c>
      <c r="H226" s="29" t="s">
        <v>372</v>
      </c>
    </row>
    <row r="227" spans="1:8" ht="22.5" x14ac:dyDescent="0.6">
      <c r="A227" s="273">
        <v>43939.722222222219</v>
      </c>
      <c r="B227" s="27" t="s">
        <v>658</v>
      </c>
      <c r="C227" s="28">
        <v>4635987</v>
      </c>
      <c r="D227" s="28"/>
      <c r="E227" s="27" t="s">
        <v>274</v>
      </c>
      <c r="F227" s="27" t="s">
        <v>276</v>
      </c>
      <c r="G227" s="29" t="s">
        <v>274</v>
      </c>
      <c r="H227" s="29" t="s">
        <v>646</v>
      </c>
    </row>
    <row r="228" spans="1:8" ht="22.5" x14ac:dyDescent="0.6">
      <c r="A228" s="273">
        <v>43941.54583333333</v>
      </c>
      <c r="B228" s="27" t="s">
        <v>659</v>
      </c>
      <c r="C228" s="28">
        <v>1953594</v>
      </c>
      <c r="D228" s="28"/>
      <c r="E228" s="27" t="s">
        <v>274</v>
      </c>
      <c r="F228" s="27" t="s">
        <v>276</v>
      </c>
      <c r="G228" s="29" t="s">
        <v>274</v>
      </c>
      <c r="H228" s="29" t="s">
        <v>330</v>
      </c>
    </row>
    <row r="229" spans="1:8" ht="22.5" x14ac:dyDescent="0.6">
      <c r="A229" s="273">
        <v>43941.695138888892</v>
      </c>
      <c r="B229" s="27" t="s">
        <v>660</v>
      </c>
      <c r="C229" s="28"/>
      <c r="D229" s="28">
        <v>1054681</v>
      </c>
      <c r="E229" s="27" t="s">
        <v>71</v>
      </c>
      <c r="F229" s="27" t="s">
        <v>313</v>
      </c>
      <c r="G229" s="29" t="s">
        <v>71</v>
      </c>
      <c r="H229" s="29" t="s">
        <v>443</v>
      </c>
    </row>
    <row r="230" spans="1:8" ht="22.5" x14ac:dyDescent="0.6">
      <c r="A230" s="273">
        <v>43941.713888888888</v>
      </c>
      <c r="B230" s="27" t="s">
        <v>661</v>
      </c>
      <c r="C230" s="28">
        <v>4453557</v>
      </c>
      <c r="D230" s="28"/>
      <c r="E230" s="27" t="s">
        <v>274</v>
      </c>
      <c r="F230" s="29" t="s">
        <v>276</v>
      </c>
      <c r="G230" s="29" t="s">
        <v>274</v>
      </c>
      <c r="H230" s="55" t="s">
        <v>352</v>
      </c>
    </row>
    <row r="231" spans="1:8" ht="22.5" x14ac:dyDescent="0.6">
      <c r="A231" s="273">
        <v>43941.77847222222</v>
      </c>
      <c r="B231" s="27" t="s">
        <v>513</v>
      </c>
      <c r="C231" s="28">
        <v>3322826</v>
      </c>
      <c r="D231" s="28"/>
      <c r="E231" s="27" t="s">
        <v>274</v>
      </c>
      <c r="F231" s="29" t="s">
        <v>276</v>
      </c>
      <c r="G231" s="29" t="s">
        <v>274</v>
      </c>
      <c r="H231" s="29" t="s">
        <v>662</v>
      </c>
    </row>
    <row r="232" spans="1:8" ht="22.5" x14ac:dyDescent="0.6">
      <c r="A232" s="273">
        <v>43942.40347222222</v>
      </c>
      <c r="B232" s="27" t="s">
        <v>663</v>
      </c>
      <c r="C232" s="28">
        <v>3727177</v>
      </c>
      <c r="D232" s="28"/>
      <c r="E232" s="27" t="s">
        <v>274</v>
      </c>
      <c r="F232" s="29" t="s">
        <v>276</v>
      </c>
      <c r="G232" s="29" t="s">
        <v>274</v>
      </c>
      <c r="H232" s="29" t="s">
        <v>372</v>
      </c>
    </row>
    <row r="233" spans="1:8" ht="22.5" x14ac:dyDescent="0.6">
      <c r="A233" s="273">
        <v>43942.443749999999</v>
      </c>
      <c r="B233" s="27" t="s">
        <v>664</v>
      </c>
      <c r="C233" s="28"/>
      <c r="D233" s="28">
        <v>314219</v>
      </c>
      <c r="E233" s="27" t="s">
        <v>342</v>
      </c>
      <c r="F233" s="29" t="s">
        <v>313</v>
      </c>
      <c r="G233" s="29" t="s">
        <v>343</v>
      </c>
      <c r="H233" s="40" t="s">
        <v>665</v>
      </c>
    </row>
    <row r="234" spans="1:8" ht="22.5" x14ac:dyDescent="0.6">
      <c r="A234" s="273">
        <v>43942.456250000003</v>
      </c>
      <c r="B234" s="27" t="s">
        <v>666</v>
      </c>
      <c r="C234" s="28">
        <v>2145874</v>
      </c>
      <c r="D234" s="28"/>
      <c r="E234" s="27" t="s">
        <v>274</v>
      </c>
      <c r="F234" s="29" t="s">
        <v>276</v>
      </c>
      <c r="G234" s="29" t="s">
        <v>248</v>
      </c>
      <c r="H234" s="29" t="s">
        <v>667</v>
      </c>
    </row>
    <row r="235" spans="1:8" ht="22.5" x14ac:dyDescent="0.6">
      <c r="A235" s="273">
        <v>43943.37777777778</v>
      </c>
      <c r="B235" s="27" t="s">
        <v>668</v>
      </c>
      <c r="C235" s="28"/>
      <c r="D235" s="28">
        <v>1484162</v>
      </c>
      <c r="E235" s="27" t="s">
        <v>312</v>
      </c>
      <c r="F235" s="29" t="s">
        <v>313</v>
      </c>
      <c r="G235" s="29" t="s">
        <v>376</v>
      </c>
      <c r="H235" s="29" t="s">
        <v>534</v>
      </c>
    </row>
    <row r="236" spans="1:8" ht="22.5" x14ac:dyDescent="0.6">
      <c r="A236" s="273">
        <v>43943.425000000003</v>
      </c>
      <c r="B236" s="27" t="s">
        <v>669</v>
      </c>
      <c r="C236" s="28"/>
      <c r="D236" s="28">
        <v>1009989</v>
      </c>
      <c r="E236" s="27" t="s">
        <v>291</v>
      </c>
      <c r="F236" s="29" t="s">
        <v>313</v>
      </c>
      <c r="G236" s="29" t="s">
        <v>362</v>
      </c>
      <c r="H236" s="29" t="s">
        <v>374</v>
      </c>
    </row>
    <row r="237" spans="1:8" ht="22.5" x14ac:dyDescent="0.6">
      <c r="A237" s="273">
        <v>43943.61041666667</v>
      </c>
      <c r="B237" s="27" t="s">
        <v>670</v>
      </c>
      <c r="C237" s="28">
        <v>2000048</v>
      </c>
      <c r="D237" s="28"/>
      <c r="E237" s="27" t="s">
        <v>274</v>
      </c>
      <c r="F237" s="27" t="s">
        <v>276</v>
      </c>
      <c r="G237" s="27" t="s">
        <v>248</v>
      </c>
      <c r="H237" s="29" t="s">
        <v>672</v>
      </c>
    </row>
    <row r="238" spans="1:8" ht="22.5" x14ac:dyDescent="0.6">
      <c r="A238" s="273">
        <v>43944.479166666664</v>
      </c>
      <c r="B238" s="27" t="s">
        <v>673</v>
      </c>
      <c r="C238" s="28"/>
      <c r="D238" s="28">
        <v>1934248</v>
      </c>
      <c r="E238" s="27" t="s">
        <v>59</v>
      </c>
      <c r="F238" s="29" t="s">
        <v>293</v>
      </c>
      <c r="G238" s="29" t="s">
        <v>59</v>
      </c>
      <c r="H238" s="56" t="s">
        <v>674</v>
      </c>
    </row>
    <row r="239" spans="1:8" ht="22.5" x14ac:dyDescent="0.6">
      <c r="A239" s="273">
        <v>43944.51666666667</v>
      </c>
      <c r="B239" s="27" t="s">
        <v>675</v>
      </c>
      <c r="C239" s="28">
        <v>3438136</v>
      </c>
      <c r="D239" s="28"/>
      <c r="E239" s="27" t="s">
        <v>274</v>
      </c>
      <c r="F239" s="29" t="s">
        <v>283</v>
      </c>
      <c r="G239" s="29" t="s">
        <v>274</v>
      </c>
      <c r="H239" s="56" t="s">
        <v>676</v>
      </c>
    </row>
    <row r="240" spans="1:8" ht="22.5" x14ac:dyDescent="0.6">
      <c r="A240" s="273">
        <v>43944.756249999999</v>
      </c>
      <c r="B240" s="27" t="s">
        <v>677</v>
      </c>
      <c r="C240" s="28"/>
      <c r="D240" s="28">
        <v>812860</v>
      </c>
      <c r="E240" s="27" t="s">
        <v>291</v>
      </c>
      <c r="F240" s="33" t="s">
        <v>293</v>
      </c>
      <c r="G240" s="33" t="s">
        <v>291</v>
      </c>
      <c r="H240" s="33" t="s">
        <v>612</v>
      </c>
    </row>
    <row r="241" spans="1:8" ht="22.5" x14ac:dyDescent="0.6">
      <c r="A241" s="273">
        <v>43944.789583333331</v>
      </c>
      <c r="B241" s="27" t="s">
        <v>678</v>
      </c>
      <c r="C241" s="28"/>
      <c r="D241" s="28">
        <v>1229223</v>
      </c>
      <c r="E241" s="27" t="s">
        <v>71</v>
      </c>
      <c r="F241" s="27" t="s">
        <v>293</v>
      </c>
      <c r="G241" s="29" t="s">
        <v>71</v>
      </c>
      <c r="H241" s="57" t="s">
        <v>680</v>
      </c>
    </row>
    <row r="242" spans="1:8" ht="22.5" x14ac:dyDescent="0.6">
      <c r="A242" s="273">
        <v>43946.392361111109</v>
      </c>
      <c r="B242" s="27" t="s">
        <v>681</v>
      </c>
      <c r="C242" s="28"/>
      <c r="D242" s="28">
        <v>1552326</v>
      </c>
      <c r="E242" s="27" t="s">
        <v>312</v>
      </c>
      <c r="F242" s="29" t="s">
        <v>313</v>
      </c>
      <c r="G242" s="29" t="s">
        <v>376</v>
      </c>
      <c r="H242" s="57" t="s">
        <v>682</v>
      </c>
    </row>
    <row r="243" spans="1:8" ht="22.5" x14ac:dyDescent="0.6">
      <c r="A243" s="273">
        <v>43947.45208333333</v>
      </c>
      <c r="B243" s="27" t="s">
        <v>683</v>
      </c>
      <c r="C243" s="28"/>
      <c r="D243" s="28">
        <v>964367</v>
      </c>
      <c r="E243" s="27" t="s">
        <v>342</v>
      </c>
      <c r="F243" s="29" t="s">
        <v>313</v>
      </c>
      <c r="G243" s="29" t="s">
        <v>343</v>
      </c>
      <c r="H243" s="57" t="s">
        <v>684</v>
      </c>
    </row>
    <row r="244" spans="1:8" ht="22.5" x14ac:dyDescent="0.6">
      <c r="A244" s="273">
        <v>43947.754166666666</v>
      </c>
      <c r="B244" s="27" t="s">
        <v>615</v>
      </c>
      <c r="C244" s="28">
        <v>1626824</v>
      </c>
      <c r="D244" s="28"/>
      <c r="E244" s="27" t="s">
        <v>274</v>
      </c>
      <c r="F244" s="29" t="s">
        <v>276</v>
      </c>
      <c r="G244" s="29" t="s">
        <v>248</v>
      </c>
      <c r="H244" s="57" t="s">
        <v>685</v>
      </c>
    </row>
    <row r="245" spans="1:8" ht="22.5" x14ac:dyDescent="0.6">
      <c r="A245" s="273">
        <v>43948.384027777778</v>
      </c>
      <c r="B245" s="27" t="s">
        <v>686</v>
      </c>
      <c r="C245" s="28"/>
      <c r="D245" s="28">
        <v>1618800</v>
      </c>
      <c r="E245" s="27" t="s">
        <v>312</v>
      </c>
      <c r="F245" s="29" t="s">
        <v>313</v>
      </c>
      <c r="G245" s="29" t="s">
        <v>376</v>
      </c>
      <c r="H245" s="57" t="s">
        <v>687</v>
      </c>
    </row>
    <row r="246" spans="1:8" ht="22.5" x14ac:dyDescent="0.6">
      <c r="A246" s="278">
        <v>43949.54791666667</v>
      </c>
      <c r="B246" s="27" t="s">
        <v>688</v>
      </c>
      <c r="C246" s="41">
        <v>3468595</v>
      </c>
      <c r="D246" s="41"/>
      <c r="E246" s="42" t="s">
        <v>274</v>
      </c>
      <c r="F246" s="33" t="s">
        <v>283</v>
      </c>
      <c r="G246" s="33" t="s">
        <v>274</v>
      </c>
      <c r="H246" s="33" t="s">
        <v>414</v>
      </c>
    </row>
    <row r="247" spans="1:8" ht="22.5" x14ac:dyDescent="0.6">
      <c r="A247" s="278">
        <v>43952.397222222222</v>
      </c>
      <c r="B247" s="27" t="s">
        <v>689</v>
      </c>
      <c r="C247" s="41">
        <v>4122271</v>
      </c>
      <c r="D247" s="41"/>
      <c r="E247" s="42" t="s">
        <v>274</v>
      </c>
      <c r="F247" s="33" t="s">
        <v>283</v>
      </c>
      <c r="G247" s="33" t="s">
        <v>274</v>
      </c>
      <c r="H247" s="33" t="s">
        <v>690</v>
      </c>
    </row>
    <row r="248" spans="1:8" ht="22.5" x14ac:dyDescent="0.6">
      <c r="A248" s="273">
        <v>43952.454861111109</v>
      </c>
      <c r="B248" s="27" t="s">
        <v>691</v>
      </c>
      <c r="C248" s="28">
        <v>597552</v>
      </c>
      <c r="D248" s="28"/>
      <c r="E248" s="27" t="s">
        <v>274</v>
      </c>
      <c r="F248" s="29" t="s">
        <v>276</v>
      </c>
      <c r="G248" s="29" t="s">
        <v>248</v>
      </c>
      <c r="H248" s="29" t="s">
        <v>692</v>
      </c>
    </row>
    <row r="249" spans="1:8" ht="22.5" x14ac:dyDescent="0.6">
      <c r="A249" s="273">
        <v>43952.456250000003</v>
      </c>
      <c r="B249" s="27" t="s">
        <v>693</v>
      </c>
      <c r="C249" s="28"/>
      <c r="D249" s="28">
        <v>123027</v>
      </c>
      <c r="E249" s="27" t="s">
        <v>71</v>
      </c>
      <c r="F249" s="29" t="s">
        <v>313</v>
      </c>
      <c r="G249" s="29" t="s">
        <v>430</v>
      </c>
      <c r="H249" s="29" t="s">
        <v>412</v>
      </c>
    </row>
    <row r="250" spans="1:8" ht="22.5" x14ac:dyDescent="0.6">
      <c r="A250" s="273">
        <v>43952.488194444442</v>
      </c>
      <c r="B250" s="27" t="s">
        <v>694</v>
      </c>
      <c r="C250" s="28">
        <v>2893199</v>
      </c>
      <c r="D250" s="28"/>
      <c r="E250" s="27" t="s">
        <v>274</v>
      </c>
      <c r="F250" s="58" t="s">
        <v>276</v>
      </c>
      <c r="G250" s="59" t="s">
        <v>248</v>
      </c>
      <c r="H250" s="60" t="s">
        <v>696</v>
      </c>
    </row>
    <row r="251" spans="1:8" ht="22.5" x14ac:dyDescent="0.6">
      <c r="A251" s="273">
        <v>43952.627083333333</v>
      </c>
      <c r="B251" s="27" t="s">
        <v>697</v>
      </c>
      <c r="C251" s="28">
        <v>3099640</v>
      </c>
      <c r="D251" s="28"/>
      <c r="E251" s="27" t="s">
        <v>274</v>
      </c>
      <c r="F251" s="29" t="s">
        <v>276</v>
      </c>
      <c r="G251" s="29" t="s">
        <v>248</v>
      </c>
      <c r="H251" s="27" t="s">
        <v>511</v>
      </c>
    </row>
    <row r="252" spans="1:8" ht="22.5" x14ac:dyDescent="0.6">
      <c r="A252" s="273">
        <v>43952.701388888891</v>
      </c>
      <c r="B252" s="27" t="s">
        <v>698</v>
      </c>
      <c r="C252" s="28">
        <v>4962953</v>
      </c>
      <c r="D252" s="28"/>
      <c r="E252" s="27" t="s">
        <v>274</v>
      </c>
      <c r="F252" s="29" t="s">
        <v>276</v>
      </c>
      <c r="G252" s="29" t="s">
        <v>248</v>
      </c>
      <c r="H252" s="27" t="s">
        <v>700</v>
      </c>
    </row>
    <row r="253" spans="1:8" ht="22.5" x14ac:dyDescent="0.6">
      <c r="A253" s="273">
        <v>43953.415972222225</v>
      </c>
      <c r="B253" s="27" t="s">
        <v>701</v>
      </c>
      <c r="C253" s="28">
        <v>2584880</v>
      </c>
      <c r="D253" s="28"/>
      <c r="E253" s="27" t="s">
        <v>274</v>
      </c>
      <c r="F253" s="33" t="s">
        <v>283</v>
      </c>
      <c r="G253" s="33" t="s">
        <v>274</v>
      </c>
      <c r="H253" s="33" t="s">
        <v>646</v>
      </c>
    </row>
    <row r="254" spans="1:8" ht="22.5" x14ac:dyDescent="0.6">
      <c r="A254" s="273">
        <v>43953.561805555553</v>
      </c>
      <c r="B254" s="27" t="s">
        <v>702</v>
      </c>
      <c r="C254" s="28">
        <v>2296451</v>
      </c>
      <c r="D254" s="28"/>
      <c r="E254" s="27" t="s">
        <v>274</v>
      </c>
      <c r="F254" s="27" t="s">
        <v>276</v>
      </c>
      <c r="G254" s="29" t="s">
        <v>274</v>
      </c>
      <c r="H254" s="29" t="s">
        <v>297</v>
      </c>
    </row>
    <row r="255" spans="1:8" ht="22.5" x14ac:dyDescent="0.6">
      <c r="A255" s="275">
        <v>43953.636111111111</v>
      </c>
      <c r="B255" s="27" t="s">
        <v>703</v>
      </c>
      <c r="C255" s="35"/>
      <c r="D255" s="35">
        <v>1566270</v>
      </c>
      <c r="E255" s="34" t="s">
        <v>291</v>
      </c>
      <c r="F255" s="27" t="s">
        <v>293</v>
      </c>
      <c r="G255" s="36" t="s">
        <v>291</v>
      </c>
      <c r="H255" s="36" t="s">
        <v>397</v>
      </c>
    </row>
    <row r="256" spans="1:8" ht="22.5" x14ac:dyDescent="0.6">
      <c r="A256" s="273">
        <v>43954.430555555555</v>
      </c>
      <c r="B256" s="27" t="s">
        <v>704</v>
      </c>
      <c r="C256" s="28"/>
      <c r="D256" s="28">
        <v>530030</v>
      </c>
      <c r="E256" s="27" t="s">
        <v>71</v>
      </c>
      <c r="F256" s="58" t="s">
        <v>313</v>
      </c>
      <c r="G256" s="58" t="s">
        <v>705</v>
      </c>
      <c r="H256" s="29" t="s">
        <v>374</v>
      </c>
    </row>
    <row r="257" spans="1:8" ht="22.5" x14ac:dyDescent="0.6">
      <c r="A257" s="273">
        <v>43955.375694444447</v>
      </c>
      <c r="B257" s="27" t="s">
        <v>706</v>
      </c>
      <c r="C257" s="28">
        <v>2006894</v>
      </c>
      <c r="D257" s="28"/>
      <c r="E257" s="27" t="s">
        <v>274</v>
      </c>
      <c r="F257" s="27" t="s">
        <v>276</v>
      </c>
      <c r="G257" s="29" t="s">
        <v>274</v>
      </c>
      <c r="H257" s="29" t="s">
        <v>372</v>
      </c>
    </row>
    <row r="258" spans="1:8" ht="22.5" x14ac:dyDescent="0.6">
      <c r="A258" s="273">
        <v>43955.746527777781</v>
      </c>
      <c r="B258" s="27" t="s">
        <v>707</v>
      </c>
      <c r="C258" s="28">
        <v>1276870</v>
      </c>
      <c r="D258" s="28"/>
      <c r="E258" s="27" t="s">
        <v>274</v>
      </c>
      <c r="F258" s="29" t="s">
        <v>276</v>
      </c>
      <c r="G258" s="29" t="s">
        <v>248</v>
      </c>
      <c r="H258" s="29" t="s">
        <v>410</v>
      </c>
    </row>
    <row r="259" spans="1:8" ht="22.5" x14ac:dyDescent="0.6">
      <c r="A259" s="273">
        <v>43956.490972222222</v>
      </c>
      <c r="B259" s="27" t="s">
        <v>708</v>
      </c>
      <c r="C259" s="28">
        <v>4576319</v>
      </c>
      <c r="D259" s="28"/>
      <c r="E259" s="27" t="s">
        <v>274</v>
      </c>
      <c r="F259" s="27" t="s">
        <v>276</v>
      </c>
      <c r="G259" s="29" t="s">
        <v>274</v>
      </c>
      <c r="H259" s="29" t="s">
        <v>382</v>
      </c>
    </row>
    <row r="260" spans="1:8" ht="22.5" x14ac:dyDescent="0.6">
      <c r="A260" s="273">
        <v>43956.561111111114</v>
      </c>
      <c r="B260" s="27" t="s">
        <v>709</v>
      </c>
      <c r="C260" s="28"/>
      <c r="D260" s="28">
        <v>1410817</v>
      </c>
      <c r="E260" s="27" t="s">
        <v>59</v>
      </c>
      <c r="F260" s="33" t="s">
        <v>293</v>
      </c>
      <c r="G260" s="33" t="s">
        <v>59</v>
      </c>
      <c r="H260" s="33" t="s">
        <v>363</v>
      </c>
    </row>
    <row r="261" spans="1:8" ht="22.5" x14ac:dyDescent="0.6">
      <c r="A261" s="273">
        <v>43957.45416666667</v>
      </c>
      <c r="B261" s="27" t="s">
        <v>710</v>
      </c>
      <c r="C261" s="28">
        <v>2569730</v>
      </c>
      <c r="D261" s="28"/>
      <c r="E261" s="27" t="s">
        <v>274</v>
      </c>
      <c r="F261" s="29" t="s">
        <v>276</v>
      </c>
      <c r="G261" s="29" t="s">
        <v>274</v>
      </c>
      <c r="H261" s="61" t="s">
        <v>472</v>
      </c>
    </row>
    <row r="262" spans="1:8" ht="22.5" x14ac:dyDescent="0.6">
      <c r="A262" s="273">
        <v>43957.506249999999</v>
      </c>
      <c r="B262" s="27" t="s">
        <v>711</v>
      </c>
      <c r="C262" s="28">
        <v>2488244</v>
      </c>
      <c r="D262" s="28"/>
      <c r="E262" s="27" t="s">
        <v>274</v>
      </c>
      <c r="F262" s="33" t="s">
        <v>283</v>
      </c>
      <c r="G262" s="33" t="s">
        <v>274</v>
      </c>
      <c r="H262" s="33" t="s">
        <v>541</v>
      </c>
    </row>
    <row r="263" spans="1:8" ht="22.5" x14ac:dyDescent="0.6">
      <c r="A263" s="273">
        <v>43957.56527777778</v>
      </c>
      <c r="B263" s="27" t="s">
        <v>712</v>
      </c>
      <c r="C263" s="28">
        <v>4123556</v>
      </c>
      <c r="D263" s="28"/>
      <c r="E263" s="27" t="s">
        <v>274</v>
      </c>
      <c r="F263" s="27" t="s">
        <v>276</v>
      </c>
      <c r="G263" s="29" t="s">
        <v>274</v>
      </c>
      <c r="H263" s="29" t="s">
        <v>372</v>
      </c>
    </row>
    <row r="264" spans="1:8" ht="22.5" x14ac:dyDescent="0.6">
      <c r="A264" s="273">
        <v>43957.572916666664</v>
      </c>
      <c r="B264" s="27" t="s">
        <v>713</v>
      </c>
      <c r="C264" s="28">
        <v>1432742</v>
      </c>
      <c r="D264" s="28"/>
      <c r="E264" s="27" t="s">
        <v>274</v>
      </c>
      <c r="F264" s="33" t="s">
        <v>283</v>
      </c>
      <c r="G264" s="33" t="s">
        <v>274</v>
      </c>
      <c r="H264" s="33" t="s">
        <v>570</v>
      </c>
    </row>
    <row r="265" spans="1:8" ht="22.5" x14ac:dyDescent="0.6">
      <c r="A265" s="273">
        <v>43957.591666666667</v>
      </c>
      <c r="B265" s="27" t="s">
        <v>714</v>
      </c>
      <c r="C265" s="28">
        <v>3660740</v>
      </c>
      <c r="D265" s="28"/>
      <c r="E265" s="27" t="s">
        <v>274</v>
      </c>
      <c r="F265" s="58" t="s">
        <v>276</v>
      </c>
      <c r="G265" s="48" t="s">
        <v>248</v>
      </c>
      <c r="H265" s="62" t="s">
        <v>278</v>
      </c>
    </row>
    <row r="266" spans="1:8" ht="22.5" x14ac:dyDescent="0.6">
      <c r="A266" s="273">
        <v>43957.613888888889</v>
      </c>
      <c r="B266" s="27" t="s">
        <v>715</v>
      </c>
      <c r="C266" s="28">
        <v>4005595</v>
      </c>
      <c r="D266" s="28"/>
      <c r="E266" s="27" t="s">
        <v>274</v>
      </c>
      <c r="F266" s="27" t="s">
        <v>276</v>
      </c>
      <c r="G266" s="29" t="s">
        <v>274</v>
      </c>
      <c r="H266" s="29" t="s">
        <v>716</v>
      </c>
    </row>
    <row r="267" spans="1:8" ht="22.5" x14ac:dyDescent="0.6">
      <c r="A267" s="273">
        <v>43958.47152777778</v>
      </c>
      <c r="B267" s="27" t="s">
        <v>717</v>
      </c>
      <c r="C267" s="28">
        <v>1283563</v>
      </c>
      <c r="D267" s="28"/>
      <c r="E267" s="27" t="s">
        <v>274</v>
      </c>
      <c r="F267" s="33" t="s">
        <v>283</v>
      </c>
      <c r="G267" s="33" t="s">
        <v>274</v>
      </c>
      <c r="H267" s="33" t="s">
        <v>718</v>
      </c>
    </row>
    <row r="268" spans="1:8" ht="22.5" x14ac:dyDescent="0.6">
      <c r="A268" s="273">
        <v>43958.546527777777</v>
      </c>
      <c r="B268" s="27" t="s">
        <v>719</v>
      </c>
      <c r="C268" s="28">
        <v>4699328</v>
      </c>
      <c r="D268" s="28"/>
      <c r="E268" s="27" t="s">
        <v>274</v>
      </c>
      <c r="F268" s="27" t="s">
        <v>276</v>
      </c>
      <c r="G268" s="29" t="s">
        <v>274</v>
      </c>
      <c r="H268" s="29" t="s">
        <v>699</v>
      </c>
    </row>
    <row r="269" spans="1:8" ht="22.5" x14ac:dyDescent="0.6">
      <c r="A269" s="273">
        <v>43958.789583333331</v>
      </c>
      <c r="B269" s="27" t="s">
        <v>514</v>
      </c>
      <c r="C269" s="28">
        <v>4165457</v>
      </c>
      <c r="D269" s="28"/>
      <c r="E269" s="27" t="s">
        <v>274</v>
      </c>
      <c r="F269" s="33" t="s">
        <v>283</v>
      </c>
      <c r="G269" s="33" t="s">
        <v>274</v>
      </c>
      <c r="H269" s="33" t="s">
        <v>470</v>
      </c>
    </row>
    <row r="270" spans="1:8" ht="22.5" x14ac:dyDescent="0.6">
      <c r="A270" s="283">
        <v>43959.489583333336</v>
      </c>
      <c r="B270" s="27" t="s">
        <v>720</v>
      </c>
      <c r="C270" s="32"/>
      <c r="D270" s="32">
        <v>1107034</v>
      </c>
      <c r="E270" s="63" t="s">
        <v>342</v>
      </c>
      <c r="F270" s="33" t="s">
        <v>292</v>
      </c>
      <c r="G270" s="33" t="s">
        <v>342</v>
      </c>
      <c r="H270" s="33" t="s">
        <v>523</v>
      </c>
    </row>
    <row r="271" spans="1:8" ht="22.5" x14ac:dyDescent="0.6">
      <c r="A271" s="273">
        <v>43959.505555555559</v>
      </c>
      <c r="B271" s="27" t="s">
        <v>721</v>
      </c>
      <c r="C271" s="28">
        <v>3166414</v>
      </c>
      <c r="D271" s="28"/>
      <c r="E271" s="27" t="s">
        <v>274</v>
      </c>
      <c r="F271" s="27" t="s">
        <v>276</v>
      </c>
      <c r="G271" s="29" t="s">
        <v>274</v>
      </c>
      <c r="H271" s="29" t="s">
        <v>662</v>
      </c>
    </row>
    <row r="272" spans="1:8" ht="22.5" x14ac:dyDescent="0.6">
      <c r="A272" s="273">
        <v>43960.436805555553</v>
      </c>
      <c r="B272" s="27" t="s">
        <v>722</v>
      </c>
      <c r="C272" s="28">
        <v>2326933</v>
      </c>
      <c r="D272" s="28"/>
      <c r="E272" s="27" t="s">
        <v>274</v>
      </c>
      <c r="F272" s="29" t="s">
        <v>276</v>
      </c>
      <c r="G272" s="29" t="s">
        <v>274</v>
      </c>
      <c r="H272" s="29" t="s">
        <v>596</v>
      </c>
    </row>
    <row r="273" spans="1:8" ht="22.5" x14ac:dyDescent="0.6">
      <c r="A273" s="273">
        <v>43960.438194444447</v>
      </c>
      <c r="B273" s="27" t="s">
        <v>723</v>
      </c>
      <c r="C273" s="28"/>
      <c r="D273" s="28">
        <v>1042753</v>
      </c>
      <c r="E273" s="27" t="s">
        <v>342</v>
      </c>
      <c r="F273" s="33" t="s">
        <v>293</v>
      </c>
      <c r="G273" s="33" t="s">
        <v>342</v>
      </c>
      <c r="H273" s="33" t="s">
        <v>523</v>
      </c>
    </row>
    <row r="274" spans="1:8" ht="22.5" x14ac:dyDescent="0.6">
      <c r="A274" s="273">
        <v>43960.489583333336</v>
      </c>
      <c r="B274" s="27" t="s">
        <v>724</v>
      </c>
      <c r="C274" s="28"/>
      <c r="D274" s="28">
        <v>916138</v>
      </c>
      <c r="E274" s="27" t="s">
        <v>59</v>
      </c>
      <c r="F274" s="27" t="s">
        <v>313</v>
      </c>
      <c r="G274" s="29" t="s">
        <v>59</v>
      </c>
      <c r="H274" s="29" t="s">
        <v>725</v>
      </c>
    </row>
    <row r="275" spans="1:8" ht="22.5" x14ac:dyDescent="0.6">
      <c r="A275" s="283">
        <v>43960.678472222222</v>
      </c>
      <c r="B275" s="27" t="s">
        <v>726</v>
      </c>
      <c r="C275" s="32">
        <v>3828218</v>
      </c>
      <c r="D275" s="32"/>
      <c r="E275" s="63" t="s">
        <v>274</v>
      </c>
      <c r="F275" s="33" t="s">
        <v>275</v>
      </c>
      <c r="G275" s="33" t="s">
        <v>274</v>
      </c>
      <c r="H275" s="33" t="s">
        <v>458</v>
      </c>
    </row>
    <row r="276" spans="1:8" ht="22.5" x14ac:dyDescent="0.6">
      <c r="A276" s="273">
        <v>43961.42291666667</v>
      </c>
      <c r="B276" s="27" t="s">
        <v>727</v>
      </c>
      <c r="C276" s="28">
        <v>1297499</v>
      </c>
      <c r="D276" s="28"/>
      <c r="E276" s="27" t="s">
        <v>274</v>
      </c>
      <c r="F276" s="29" t="s">
        <v>276</v>
      </c>
      <c r="G276" s="29" t="s">
        <v>248</v>
      </c>
      <c r="H276" s="29" t="s">
        <v>728</v>
      </c>
    </row>
    <row r="277" spans="1:8" ht="22.5" x14ac:dyDescent="0.6">
      <c r="A277" s="273">
        <v>43962.386805555558</v>
      </c>
      <c r="B277" s="27" t="s">
        <v>729</v>
      </c>
      <c r="C277" s="28"/>
      <c r="D277" s="28">
        <v>522097</v>
      </c>
      <c r="E277" s="27" t="s">
        <v>291</v>
      </c>
      <c r="F277" s="33" t="s">
        <v>293</v>
      </c>
      <c r="G277" s="33" t="s">
        <v>291</v>
      </c>
      <c r="H277" s="33" t="s">
        <v>593</v>
      </c>
    </row>
    <row r="278" spans="1:8" ht="22.5" x14ac:dyDescent="0.6">
      <c r="A278" s="273">
        <v>43962.462500000001</v>
      </c>
      <c r="B278" s="27" t="s">
        <v>730</v>
      </c>
      <c r="C278" s="28"/>
      <c r="D278" s="28">
        <v>1089918</v>
      </c>
      <c r="E278" s="27" t="s">
        <v>291</v>
      </c>
      <c r="F278" s="29" t="s">
        <v>313</v>
      </c>
      <c r="G278" s="29" t="s">
        <v>362</v>
      </c>
      <c r="H278" s="29" t="s">
        <v>508</v>
      </c>
    </row>
    <row r="279" spans="1:8" ht="22.5" x14ac:dyDescent="0.6">
      <c r="A279" s="273">
        <v>43962.529861111114</v>
      </c>
      <c r="B279" s="27" t="s">
        <v>731</v>
      </c>
      <c r="C279" s="28"/>
      <c r="D279" s="28">
        <v>1705665</v>
      </c>
      <c r="E279" s="27" t="s">
        <v>59</v>
      </c>
      <c r="F279" s="33" t="s">
        <v>292</v>
      </c>
      <c r="G279" s="33" t="s">
        <v>59</v>
      </c>
      <c r="H279" s="33" t="s">
        <v>360</v>
      </c>
    </row>
    <row r="280" spans="1:8" ht="22.5" x14ac:dyDescent="0.6">
      <c r="A280" s="273">
        <v>43962.551388888889</v>
      </c>
      <c r="B280" s="27" t="s">
        <v>732</v>
      </c>
      <c r="C280" s="28">
        <v>1631304</v>
      </c>
      <c r="D280" s="28"/>
      <c r="E280" s="27" t="s">
        <v>274</v>
      </c>
      <c r="F280" s="33" t="s">
        <v>275</v>
      </c>
      <c r="G280" s="33" t="s">
        <v>274</v>
      </c>
      <c r="H280" s="33" t="s">
        <v>387</v>
      </c>
    </row>
    <row r="281" spans="1:8" ht="22.5" x14ac:dyDescent="0.6">
      <c r="A281" s="279">
        <v>43962.74722222222</v>
      </c>
      <c r="B281" s="27" t="s">
        <v>733</v>
      </c>
      <c r="C281" s="30">
        <v>828119</v>
      </c>
      <c r="D281" s="30"/>
      <c r="E281" s="42" t="s">
        <v>274</v>
      </c>
      <c r="F281" s="33" t="s">
        <v>275</v>
      </c>
      <c r="G281" s="33" t="s">
        <v>274</v>
      </c>
      <c r="H281" s="33" t="s">
        <v>570</v>
      </c>
    </row>
    <row r="282" spans="1:8" ht="22.5" x14ac:dyDescent="0.6">
      <c r="A282" s="273">
        <v>43962.780555555553</v>
      </c>
      <c r="B282" s="27" t="s">
        <v>734</v>
      </c>
      <c r="C282" s="28">
        <v>4438555</v>
      </c>
      <c r="D282" s="28"/>
      <c r="E282" s="27" t="s">
        <v>274</v>
      </c>
      <c r="F282" s="29" t="s">
        <v>276</v>
      </c>
      <c r="G282" s="29" t="s">
        <v>248</v>
      </c>
      <c r="H282" s="29" t="s">
        <v>735</v>
      </c>
    </row>
    <row r="283" spans="1:8" ht="22.5" x14ac:dyDescent="0.6">
      <c r="A283" s="278">
        <v>43965.431944444441</v>
      </c>
      <c r="B283" s="27" t="s">
        <v>736</v>
      </c>
      <c r="C283" s="41">
        <v>1829458</v>
      </c>
      <c r="D283" s="41"/>
      <c r="E283" s="42" t="s">
        <v>274</v>
      </c>
      <c r="F283" s="33" t="s">
        <v>275</v>
      </c>
      <c r="G283" s="33" t="s">
        <v>274</v>
      </c>
      <c r="H283" s="33" t="s">
        <v>737</v>
      </c>
    </row>
    <row r="284" spans="1:8" ht="22.5" x14ac:dyDescent="0.6">
      <c r="A284" s="273">
        <v>43965.547222222223</v>
      </c>
      <c r="B284" s="27" t="s">
        <v>738</v>
      </c>
      <c r="C284" s="28"/>
      <c r="D284" s="28">
        <v>1865374</v>
      </c>
      <c r="E284" s="27" t="s">
        <v>71</v>
      </c>
      <c r="F284" s="29" t="s">
        <v>313</v>
      </c>
      <c r="G284" s="29" t="s">
        <v>71</v>
      </c>
      <c r="H284" s="29" t="s">
        <v>523</v>
      </c>
    </row>
    <row r="285" spans="1:8" ht="22.5" x14ac:dyDescent="0.6">
      <c r="A285" s="273">
        <v>43967.39166666667</v>
      </c>
      <c r="B285" s="27" t="s">
        <v>666</v>
      </c>
      <c r="C285" s="28">
        <v>2997087</v>
      </c>
      <c r="D285" s="28"/>
      <c r="E285" s="27" t="s">
        <v>274</v>
      </c>
      <c r="F285" s="29" t="s">
        <v>276</v>
      </c>
      <c r="G285" s="29" t="s">
        <v>274</v>
      </c>
      <c r="H285" s="29" t="s">
        <v>737</v>
      </c>
    </row>
    <row r="286" spans="1:8" ht="22.5" x14ac:dyDescent="0.6">
      <c r="A286" s="273">
        <v>43967.470138888886</v>
      </c>
      <c r="B286" s="27" t="s">
        <v>739</v>
      </c>
      <c r="C286" s="28">
        <v>851560</v>
      </c>
      <c r="D286" s="28"/>
      <c r="E286" s="27" t="s">
        <v>274</v>
      </c>
      <c r="F286" s="29" t="s">
        <v>276</v>
      </c>
      <c r="G286" s="29" t="s">
        <v>274</v>
      </c>
      <c r="H286" s="29" t="s">
        <v>596</v>
      </c>
    </row>
    <row r="287" spans="1:8" ht="22.5" x14ac:dyDescent="0.6">
      <c r="A287" s="273">
        <v>43967.642361111109</v>
      </c>
      <c r="B287" s="27" t="s">
        <v>740</v>
      </c>
      <c r="C287" s="28">
        <v>3037323</v>
      </c>
      <c r="D287" s="28"/>
      <c r="E287" s="27" t="s">
        <v>274</v>
      </c>
      <c r="F287" s="29" t="s">
        <v>276</v>
      </c>
      <c r="G287" s="29" t="s">
        <v>274</v>
      </c>
      <c r="H287" s="29" t="s">
        <v>510</v>
      </c>
    </row>
    <row r="288" spans="1:8" ht="22.5" x14ac:dyDescent="0.6">
      <c r="A288" s="273">
        <v>43968.55972222222</v>
      </c>
      <c r="B288" s="27" t="s">
        <v>368</v>
      </c>
      <c r="C288" s="28">
        <v>3369333</v>
      </c>
      <c r="D288" s="28"/>
      <c r="E288" s="27" t="s">
        <v>274</v>
      </c>
      <c r="F288" s="29" t="s">
        <v>276</v>
      </c>
      <c r="G288" s="29" t="s">
        <v>274</v>
      </c>
      <c r="H288" s="29" t="s">
        <v>521</v>
      </c>
    </row>
    <row r="289" spans="1:8" ht="22.5" x14ac:dyDescent="0.6">
      <c r="A289" s="273">
        <v>43968.709027777775</v>
      </c>
      <c r="B289" s="27" t="s">
        <v>571</v>
      </c>
      <c r="C289" s="28">
        <v>4367092</v>
      </c>
      <c r="D289" s="28"/>
      <c r="E289" s="27" t="s">
        <v>274</v>
      </c>
      <c r="F289" s="29" t="s">
        <v>276</v>
      </c>
      <c r="G289" s="29" t="s">
        <v>274</v>
      </c>
      <c r="H289" s="29" t="s">
        <v>634</v>
      </c>
    </row>
    <row r="290" spans="1:8" ht="22.5" x14ac:dyDescent="0.6">
      <c r="A290" s="273">
        <v>43968.731249999997</v>
      </c>
      <c r="B290" s="27" t="s">
        <v>741</v>
      </c>
      <c r="C290" s="28">
        <v>2667169</v>
      </c>
      <c r="D290" s="28"/>
      <c r="E290" s="27" t="s">
        <v>274</v>
      </c>
      <c r="F290" s="29" t="s">
        <v>276</v>
      </c>
      <c r="G290" s="29" t="s">
        <v>274</v>
      </c>
      <c r="H290" s="29" t="s">
        <v>304</v>
      </c>
    </row>
    <row r="291" spans="1:8" ht="22.5" x14ac:dyDescent="0.6">
      <c r="A291" s="273">
        <v>43969.387499999997</v>
      </c>
      <c r="B291" s="27" t="s">
        <v>742</v>
      </c>
      <c r="C291" s="28">
        <v>1890482</v>
      </c>
      <c r="D291" s="28"/>
      <c r="E291" s="27" t="s">
        <v>274</v>
      </c>
      <c r="F291" s="29" t="s">
        <v>276</v>
      </c>
      <c r="G291" s="29" t="s">
        <v>274</v>
      </c>
      <c r="H291" s="29" t="s">
        <v>320</v>
      </c>
    </row>
    <row r="292" spans="1:8" ht="22.5" x14ac:dyDescent="0.6">
      <c r="A292" s="274">
        <v>43971.413888888892</v>
      </c>
      <c r="B292" s="27" t="s">
        <v>743</v>
      </c>
      <c r="C292" s="30">
        <v>3731367</v>
      </c>
      <c r="D292" s="30"/>
      <c r="E292" s="31" t="s">
        <v>274</v>
      </c>
      <c r="F292" s="29" t="s">
        <v>276</v>
      </c>
      <c r="G292" s="29" t="s">
        <v>274</v>
      </c>
      <c r="H292" s="29" t="s">
        <v>634</v>
      </c>
    </row>
    <row r="293" spans="1:8" ht="22.5" x14ac:dyDescent="0.6">
      <c r="A293" s="278">
        <v>43971.617361111108</v>
      </c>
      <c r="B293" s="27" t="s">
        <v>657</v>
      </c>
      <c r="C293" s="41">
        <v>3871854</v>
      </c>
      <c r="D293" s="41"/>
      <c r="E293" s="42" t="s">
        <v>274</v>
      </c>
      <c r="F293" s="33" t="s">
        <v>283</v>
      </c>
      <c r="G293" s="33" t="s">
        <v>274</v>
      </c>
      <c r="H293" s="33" t="s">
        <v>525</v>
      </c>
    </row>
    <row r="294" spans="1:8" ht="22.5" x14ac:dyDescent="0.6">
      <c r="A294" s="273">
        <v>43972.418749999997</v>
      </c>
      <c r="B294" s="27" t="s">
        <v>744</v>
      </c>
      <c r="C294" s="28"/>
      <c r="D294" s="28">
        <v>1063114</v>
      </c>
      <c r="E294" s="27" t="s">
        <v>71</v>
      </c>
      <c r="F294" s="27" t="s">
        <v>313</v>
      </c>
      <c r="G294" s="29" t="s">
        <v>71</v>
      </c>
      <c r="H294" s="29" t="s">
        <v>637</v>
      </c>
    </row>
    <row r="295" spans="1:8" ht="22.5" x14ac:dyDescent="0.6">
      <c r="A295" s="280">
        <v>43972.452777777777</v>
      </c>
      <c r="B295" s="27" t="s">
        <v>745</v>
      </c>
      <c r="C295" s="41">
        <v>2087369</v>
      </c>
      <c r="D295" s="41"/>
      <c r="E295" s="31" t="s">
        <v>274</v>
      </c>
      <c r="F295" s="27" t="s">
        <v>276</v>
      </c>
      <c r="G295" s="27" t="s">
        <v>248</v>
      </c>
      <c r="H295" s="29" t="s">
        <v>298</v>
      </c>
    </row>
    <row r="296" spans="1:8" ht="22.5" x14ac:dyDescent="0.6">
      <c r="A296" s="273">
        <v>43973.661805555559</v>
      </c>
      <c r="B296" s="27" t="s">
        <v>746</v>
      </c>
      <c r="C296" s="28"/>
      <c r="D296" s="28">
        <v>127288</v>
      </c>
      <c r="E296" s="27" t="s">
        <v>59</v>
      </c>
      <c r="F296" s="29" t="s">
        <v>313</v>
      </c>
      <c r="G296" s="29" t="s">
        <v>442</v>
      </c>
      <c r="H296" s="29" t="s">
        <v>379</v>
      </c>
    </row>
    <row r="297" spans="1:8" ht="22.5" x14ac:dyDescent="0.6">
      <c r="A297" s="273">
        <v>43974.606944444444</v>
      </c>
      <c r="B297" s="27" t="s">
        <v>747</v>
      </c>
      <c r="C297" s="28">
        <v>2267663</v>
      </c>
      <c r="D297" s="28"/>
      <c r="E297" s="27" t="s">
        <v>274</v>
      </c>
      <c r="F297" s="29" t="s">
        <v>276</v>
      </c>
      <c r="G297" s="29" t="s">
        <v>248</v>
      </c>
      <c r="H297" s="29" t="s">
        <v>352</v>
      </c>
    </row>
    <row r="298" spans="1:8" ht="22.5" x14ac:dyDescent="0.6">
      <c r="A298" s="273">
        <v>43975.666666666664</v>
      </c>
      <c r="B298" s="27" t="s">
        <v>748</v>
      </c>
      <c r="C298" s="28">
        <v>1148438</v>
      </c>
      <c r="D298" s="28"/>
      <c r="E298" s="27" t="s">
        <v>274</v>
      </c>
      <c r="F298" s="29" t="s">
        <v>276</v>
      </c>
      <c r="G298" s="29" t="s">
        <v>248</v>
      </c>
      <c r="H298" s="29" t="s">
        <v>695</v>
      </c>
    </row>
    <row r="299" spans="1:8" ht="22.5" x14ac:dyDescent="0.6">
      <c r="A299" s="273">
        <v>43975.681250000001</v>
      </c>
      <c r="B299" s="27" t="s">
        <v>749</v>
      </c>
      <c r="C299" s="28">
        <v>601030</v>
      </c>
      <c r="D299" s="28"/>
      <c r="E299" s="27" t="s">
        <v>274</v>
      </c>
      <c r="F299" s="29" t="s">
        <v>276</v>
      </c>
      <c r="G299" s="29" t="s">
        <v>248</v>
      </c>
      <c r="H299" s="29" t="s">
        <v>340</v>
      </c>
    </row>
    <row r="300" spans="1:8" ht="22.5" x14ac:dyDescent="0.6">
      <c r="A300" s="273">
        <v>43977.59097222222</v>
      </c>
      <c r="B300" s="27" t="s">
        <v>750</v>
      </c>
      <c r="C300" s="28"/>
      <c r="D300" s="28">
        <v>1054531</v>
      </c>
      <c r="E300" s="27" t="s">
        <v>342</v>
      </c>
      <c r="F300" s="29" t="s">
        <v>313</v>
      </c>
      <c r="G300" s="29" t="s">
        <v>343</v>
      </c>
      <c r="H300" s="29" t="s">
        <v>584</v>
      </c>
    </row>
    <row r="301" spans="1:8" ht="22.5" x14ac:dyDescent="0.6">
      <c r="A301" s="273">
        <v>43977.741666666669</v>
      </c>
      <c r="B301" s="27" t="s">
        <v>751</v>
      </c>
      <c r="C301" s="28"/>
      <c r="D301" s="28">
        <v>290181</v>
      </c>
      <c r="E301" s="27" t="s">
        <v>291</v>
      </c>
      <c r="F301" s="27" t="s">
        <v>313</v>
      </c>
      <c r="G301" s="29" t="s">
        <v>291</v>
      </c>
      <c r="H301" s="29" t="s">
        <v>752</v>
      </c>
    </row>
    <row r="302" spans="1:8" ht="22.5" x14ac:dyDescent="0.6">
      <c r="A302" s="273">
        <v>43977.790277777778</v>
      </c>
      <c r="B302" s="27" t="s">
        <v>753</v>
      </c>
      <c r="C302" s="28"/>
      <c r="D302" s="28">
        <v>589013</v>
      </c>
      <c r="E302" s="27" t="s">
        <v>312</v>
      </c>
      <c r="F302" s="27" t="s">
        <v>313</v>
      </c>
      <c r="G302" s="29" t="s">
        <v>312</v>
      </c>
      <c r="H302" s="29" t="s">
        <v>754</v>
      </c>
    </row>
    <row r="303" spans="1:8" ht="22.5" x14ac:dyDescent="0.6">
      <c r="A303" s="273">
        <v>43978.552083333336</v>
      </c>
      <c r="B303" s="27" t="s">
        <v>755</v>
      </c>
      <c r="C303" s="28"/>
      <c r="D303" s="28">
        <v>1845098</v>
      </c>
      <c r="E303" s="27" t="s">
        <v>71</v>
      </c>
      <c r="F303" s="27" t="s">
        <v>313</v>
      </c>
      <c r="G303" s="29" t="s">
        <v>71</v>
      </c>
      <c r="H303" s="29" t="s">
        <v>593</v>
      </c>
    </row>
    <row r="304" spans="1:8" ht="22.5" x14ac:dyDescent="0.6">
      <c r="A304" s="273">
        <v>43978.556250000001</v>
      </c>
      <c r="B304" s="27" t="s">
        <v>756</v>
      </c>
      <c r="C304" s="28">
        <v>4157956</v>
      </c>
      <c r="D304" s="28"/>
      <c r="E304" s="27" t="s">
        <v>274</v>
      </c>
      <c r="F304" s="27" t="s">
        <v>276</v>
      </c>
      <c r="G304" s="29" t="s">
        <v>274</v>
      </c>
      <c r="H304" s="29" t="s">
        <v>410</v>
      </c>
    </row>
    <row r="305" spans="1:8" ht="22.5" x14ac:dyDescent="0.6">
      <c r="A305" s="273">
        <v>43978.575694444444</v>
      </c>
      <c r="B305" s="27" t="s">
        <v>757</v>
      </c>
      <c r="C305" s="28">
        <v>4915060</v>
      </c>
      <c r="D305" s="28"/>
      <c r="E305" s="27" t="s">
        <v>274</v>
      </c>
      <c r="F305" s="33" t="s">
        <v>283</v>
      </c>
      <c r="G305" s="33" t="s">
        <v>274</v>
      </c>
      <c r="H305" s="33" t="s">
        <v>639</v>
      </c>
    </row>
    <row r="306" spans="1:8" ht="22.5" x14ac:dyDescent="0.6">
      <c r="A306" s="273">
        <v>43978.591666666667</v>
      </c>
      <c r="B306" s="27" t="s">
        <v>758</v>
      </c>
      <c r="C306" s="28">
        <v>1703714</v>
      </c>
      <c r="D306" s="28"/>
      <c r="E306" s="27" t="s">
        <v>274</v>
      </c>
      <c r="F306" s="27" t="s">
        <v>276</v>
      </c>
      <c r="G306" s="29" t="s">
        <v>274</v>
      </c>
      <c r="H306" s="29" t="s">
        <v>316</v>
      </c>
    </row>
    <row r="307" spans="1:8" ht="22.5" x14ac:dyDescent="0.6">
      <c r="A307" s="273">
        <v>43978.668055555558</v>
      </c>
      <c r="B307" s="27" t="s">
        <v>759</v>
      </c>
      <c r="C307" s="28">
        <v>3104727</v>
      </c>
      <c r="D307" s="28"/>
      <c r="E307" s="27" t="s">
        <v>274</v>
      </c>
      <c r="F307" s="27" t="s">
        <v>276</v>
      </c>
      <c r="G307" s="29" t="s">
        <v>274</v>
      </c>
      <c r="H307" s="29" t="s">
        <v>439</v>
      </c>
    </row>
    <row r="308" spans="1:8" ht="22.5" x14ac:dyDescent="0.6">
      <c r="A308" s="273">
        <v>43978.751388888886</v>
      </c>
      <c r="B308" s="27" t="s">
        <v>760</v>
      </c>
      <c r="C308" s="28">
        <v>3827621</v>
      </c>
      <c r="D308" s="28"/>
      <c r="E308" s="27" t="s">
        <v>274</v>
      </c>
      <c r="F308" s="33" t="s">
        <v>283</v>
      </c>
      <c r="G308" s="33" t="s">
        <v>274</v>
      </c>
      <c r="H308" s="33" t="s">
        <v>716</v>
      </c>
    </row>
    <row r="309" spans="1:8" ht="22.5" x14ac:dyDescent="0.6">
      <c r="A309" s="273">
        <v>43979.522916666669</v>
      </c>
      <c r="B309" s="27" t="s">
        <v>761</v>
      </c>
      <c r="C309" s="28">
        <v>1691384</v>
      </c>
      <c r="D309" s="28"/>
      <c r="E309" s="27" t="s">
        <v>274</v>
      </c>
      <c r="F309" s="27" t="s">
        <v>276</v>
      </c>
      <c r="G309" s="29" t="s">
        <v>274</v>
      </c>
      <c r="H309" s="29" t="s">
        <v>762</v>
      </c>
    </row>
    <row r="310" spans="1:8" ht="22.5" x14ac:dyDescent="0.6">
      <c r="A310" s="273">
        <v>43979.540277777778</v>
      </c>
      <c r="B310" s="27" t="s">
        <v>697</v>
      </c>
      <c r="C310" s="28">
        <v>3780739</v>
      </c>
      <c r="D310" s="28"/>
      <c r="E310" s="27" t="s">
        <v>274</v>
      </c>
      <c r="F310" s="29" t="s">
        <v>276</v>
      </c>
      <c r="G310" s="29" t="s">
        <v>248</v>
      </c>
      <c r="H310" s="29" t="s">
        <v>763</v>
      </c>
    </row>
    <row r="311" spans="1:8" ht="22.5" x14ac:dyDescent="0.6">
      <c r="A311" s="273">
        <v>43979.540277777778</v>
      </c>
      <c r="B311" s="27" t="s">
        <v>620</v>
      </c>
      <c r="C311" s="28"/>
      <c r="D311" s="28">
        <v>194859</v>
      </c>
      <c r="E311" s="27" t="s">
        <v>59</v>
      </c>
      <c r="F311" s="27" t="s">
        <v>313</v>
      </c>
      <c r="G311" s="29" t="s">
        <v>59</v>
      </c>
      <c r="H311" s="29" t="s">
        <v>337</v>
      </c>
    </row>
    <row r="312" spans="1:8" ht="22.5" x14ac:dyDescent="0.6">
      <c r="A312" s="273">
        <v>43983.618750000001</v>
      </c>
      <c r="B312" s="27" t="s">
        <v>764</v>
      </c>
      <c r="C312" s="28"/>
      <c r="D312" s="28">
        <v>975742</v>
      </c>
      <c r="E312" s="27" t="s">
        <v>312</v>
      </c>
      <c r="F312" s="27" t="s">
        <v>313</v>
      </c>
      <c r="G312" s="29" t="s">
        <v>312</v>
      </c>
      <c r="H312" s="29" t="s">
        <v>389</v>
      </c>
    </row>
    <row r="313" spans="1:8" ht="22.5" x14ac:dyDescent="0.6">
      <c r="A313" s="273">
        <v>43984.375</v>
      </c>
      <c r="B313" s="27" t="s">
        <v>765</v>
      </c>
      <c r="C313" s="28"/>
      <c r="D313" s="28">
        <v>1697224</v>
      </c>
      <c r="E313" s="27" t="s">
        <v>59</v>
      </c>
      <c r="F313" s="27" t="s">
        <v>313</v>
      </c>
      <c r="G313" s="29" t="s">
        <v>59</v>
      </c>
      <c r="H313" s="29" t="s">
        <v>766</v>
      </c>
    </row>
    <row r="314" spans="1:8" ht="22.5" x14ac:dyDescent="0.6">
      <c r="A314" s="273">
        <v>43984.524305555555</v>
      </c>
      <c r="B314" s="27" t="s">
        <v>644</v>
      </c>
      <c r="C314" s="28">
        <v>932895</v>
      </c>
      <c r="D314" s="28"/>
      <c r="E314" s="27" t="s">
        <v>274</v>
      </c>
      <c r="F314" s="33" t="s">
        <v>283</v>
      </c>
      <c r="G314" s="33" t="s">
        <v>274</v>
      </c>
      <c r="H314" s="33" t="s">
        <v>561</v>
      </c>
    </row>
    <row r="315" spans="1:8" ht="22.5" x14ac:dyDescent="0.6">
      <c r="A315" s="273">
        <v>43984.774305555555</v>
      </c>
      <c r="B315" s="27" t="s">
        <v>767</v>
      </c>
      <c r="C315" s="28">
        <v>3693867</v>
      </c>
      <c r="D315" s="28"/>
      <c r="E315" s="27" t="s">
        <v>274</v>
      </c>
      <c r="F315" s="33" t="s">
        <v>283</v>
      </c>
      <c r="G315" s="33" t="s">
        <v>274</v>
      </c>
      <c r="H315" s="33" t="s">
        <v>369</v>
      </c>
    </row>
    <row r="316" spans="1:8" ht="22.5" x14ac:dyDescent="0.6">
      <c r="A316" s="273">
        <v>43985.503472222219</v>
      </c>
      <c r="B316" s="27" t="s">
        <v>768</v>
      </c>
      <c r="C316" s="28">
        <v>1528090</v>
      </c>
      <c r="D316" s="28"/>
      <c r="E316" s="27" t="s">
        <v>274</v>
      </c>
      <c r="F316" s="33" t="s">
        <v>283</v>
      </c>
      <c r="G316" s="33" t="s">
        <v>274</v>
      </c>
      <c r="H316" s="33" t="s">
        <v>769</v>
      </c>
    </row>
    <row r="317" spans="1:8" ht="22.5" x14ac:dyDescent="0.6">
      <c r="A317" s="273">
        <v>43985.708333333336</v>
      </c>
      <c r="B317" s="27" t="s">
        <v>770</v>
      </c>
      <c r="C317" s="28"/>
      <c r="D317" s="28">
        <v>1125213</v>
      </c>
      <c r="E317" s="27" t="s">
        <v>59</v>
      </c>
      <c r="F317" s="29" t="s">
        <v>313</v>
      </c>
      <c r="G317" s="29" t="s">
        <v>442</v>
      </c>
      <c r="H317" s="29" t="s">
        <v>338</v>
      </c>
    </row>
    <row r="318" spans="1:8" ht="22.5" x14ac:dyDescent="0.6">
      <c r="A318" s="273">
        <v>43985.788194444445</v>
      </c>
      <c r="B318" s="27" t="s">
        <v>771</v>
      </c>
      <c r="C318" s="28">
        <v>3295014</v>
      </c>
      <c r="D318" s="28"/>
      <c r="E318" s="27" t="s">
        <v>274</v>
      </c>
      <c r="F318" s="27" t="s">
        <v>283</v>
      </c>
      <c r="G318" s="29" t="s">
        <v>274</v>
      </c>
      <c r="H318" s="29" t="s">
        <v>340</v>
      </c>
    </row>
    <row r="319" spans="1:8" ht="22.5" x14ac:dyDescent="0.6">
      <c r="A319" s="273">
        <v>43986.489583333336</v>
      </c>
      <c r="B319" s="27" t="s">
        <v>772</v>
      </c>
      <c r="C319" s="28"/>
      <c r="D319" s="28">
        <v>402249</v>
      </c>
      <c r="E319" s="27" t="s">
        <v>312</v>
      </c>
      <c r="F319" s="27" t="s">
        <v>293</v>
      </c>
      <c r="G319" s="29" t="s">
        <v>312</v>
      </c>
      <c r="H319" s="29" t="s">
        <v>322</v>
      </c>
    </row>
    <row r="320" spans="1:8" ht="22.5" x14ac:dyDescent="0.6">
      <c r="A320" s="273">
        <v>43986.656944444447</v>
      </c>
      <c r="B320" s="27" t="s">
        <v>620</v>
      </c>
      <c r="C320" s="28"/>
      <c r="D320" s="28">
        <v>1034736</v>
      </c>
      <c r="E320" s="27" t="s">
        <v>312</v>
      </c>
      <c r="F320" s="27" t="s">
        <v>293</v>
      </c>
      <c r="G320" s="29" t="s">
        <v>312</v>
      </c>
      <c r="H320" s="29" t="s">
        <v>752</v>
      </c>
    </row>
    <row r="321" spans="1:8" ht="22.5" x14ac:dyDescent="0.6">
      <c r="A321" s="273">
        <v>43986.693749999999</v>
      </c>
      <c r="B321" s="27" t="s">
        <v>773</v>
      </c>
      <c r="C321" s="28">
        <v>1431241</v>
      </c>
      <c r="D321" s="28"/>
      <c r="E321" s="27" t="s">
        <v>274</v>
      </c>
      <c r="F321" s="27" t="s">
        <v>283</v>
      </c>
      <c r="G321" s="29" t="s">
        <v>274</v>
      </c>
      <c r="H321" s="29" t="s">
        <v>646</v>
      </c>
    </row>
    <row r="322" spans="1:8" ht="22.5" x14ac:dyDescent="0.6">
      <c r="A322" s="273">
        <v>43987.588194444441</v>
      </c>
      <c r="B322" s="27" t="s">
        <v>774</v>
      </c>
      <c r="C322" s="28">
        <v>1205257</v>
      </c>
      <c r="D322" s="28"/>
      <c r="E322" s="27" t="s">
        <v>274</v>
      </c>
      <c r="F322" s="27" t="s">
        <v>276</v>
      </c>
      <c r="G322" s="29" t="s">
        <v>274</v>
      </c>
      <c r="H322" s="29" t="s">
        <v>557</v>
      </c>
    </row>
    <row r="323" spans="1:8" ht="22.5" x14ac:dyDescent="0.6">
      <c r="A323" s="273">
        <v>43988.576388888891</v>
      </c>
      <c r="B323" s="27" t="s">
        <v>775</v>
      </c>
      <c r="C323" s="28"/>
      <c r="D323" s="28">
        <v>1943307</v>
      </c>
      <c r="E323" s="27" t="s">
        <v>71</v>
      </c>
      <c r="F323" s="27" t="s">
        <v>313</v>
      </c>
      <c r="G323" s="29" t="s">
        <v>71</v>
      </c>
      <c r="H323" s="29" t="s">
        <v>461</v>
      </c>
    </row>
    <row r="324" spans="1:8" ht="22.5" x14ac:dyDescent="0.6">
      <c r="A324" s="273">
        <v>43989.481249999997</v>
      </c>
      <c r="B324" s="27" t="s">
        <v>776</v>
      </c>
      <c r="C324" s="28">
        <v>1922148</v>
      </c>
      <c r="D324" s="28"/>
      <c r="E324" s="27" t="s">
        <v>274</v>
      </c>
      <c r="F324" s="27" t="s">
        <v>276</v>
      </c>
      <c r="G324" s="29" t="s">
        <v>274</v>
      </c>
      <c r="H324" s="29" t="s">
        <v>426</v>
      </c>
    </row>
    <row r="325" spans="1:8" ht="22.5" x14ac:dyDescent="0.6">
      <c r="A325" s="273">
        <v>43989.577777777777</v>
      </c>
      <c r="B325" s="27" t="s">
        <v>777</v>
      </c>
      <c r="C325" s="28"/>
      <c r="D325" s="28">
        <v>1087671</v>
      </c>
      <c r="E325" s="27" t="s">
        <v>291</v>
      </c>
      <c r="F325" s="27" t="s">
        <v>313</v>
      </c>
      <c r="G325" s="29" t="s">
        <v>291</v>
      </c>
      <c r="H325" s="29" t="s">
        <v>641</v>
      </c>
    </row>
    <row r="326" spans="1:8" ht="22.5" x14ac:dyDescent="0.6">
      <c r="A326" s="273">
        <v>43989.623611111114</v>
      </c>
      <c r="B326" s="27" t="s">
        <v>778</v>
      </c>
      <c r="C326" s="28">
        <v>3408897</v>
      </c>
      <c r="D326" s="28"/>
      <c r="E326" s="27" t="s">
        <v>274</v>
      </c>
      <c r="F326" s="27" t="s">
        <v>276</v>
      </c>
      <c r="G326" s="29" t="s">
        <v>274</v>
      </c>
      <c r="H326" s="29" t="s">
        <v>662</v>
      </c>
    </row>
    <row r="327" spans="1:8" ht="22.5" x14ac:dyDescent="0.6">
      <c r="A327" s="273">
        <v>43991.493750000001</v>
      </c>
      <c r="B327" s="27" t="s">
        <v>760</v>
      </c>
      <c r="C327" s="28">
        <v>1045712</v>
      </c>
      <c r="D327" s="28"/>
      <c r="E327" s="27" t="s">
        <v>274</v>
      </c>
      <c r="F327" s="27" t="s">
        <v>276</v>
      </c>
      <c r="G327" s="29" t="s">
        <v>274</v>
      </c>
      <c r="H327" s="29" t="s">
        <v>426</v>
      </c>
    </row>
    <row r="328" spans="1:8" ht="22.5" x14ac:dyDescent="0.6">
      <c r="A328" s="273">
        <v>43991.645833333336</v>
      </c>
      <c r="B328" s="27" t="s">
        <v>779</v>
      </c>
      <c r="C328" s="28"/>
      <c r="D328" s="28">
        <v>538672</v>
      </c>
      <c r="E328" s="27" t="s">
        <v>312</v>
      </c>
      <c r="F328" s="29" t="s">
        <v>313</v>
      </c>
      <c r="G328" s="29" t="s">
        <v>376</v>
      </c>
      <c r="H328" s="29" t="s">
        <v>508</v>
      </c>
    </row>
    <row r="329" spans="1:8" ht="22.5" x14ac:dyDescent="0.6">
      <c r="A329" s="273">
        <v>43993.466666666667</v>
      </c>
      <c r="B329" s="27" t="s">
        <v>780</v>
      </c>
      <c r="C329" s="28">
        <v>4763378</v>
      </c>
      <c r="D329" s="28"/>
      <c r="E329" s="27" t="s">
        <v>274</v>
      </c>
      <c r="F329" s="29" t="s">
        <v>276</v>
      </c>
      <c r="G329" s="29" t="s">
        <v>248</v>
      </c>
      <c r="H329" s="29" t="s">
        <v>781</v>
      </c>
    </row>
    <row r="330" spans="1:8" ht="22.5" x14ac:dyDescent="0.6">
      <c r="A330" s="273">
        <v>43993.552083333336</v>
      </c>
      <c r="B330" s="27" t="s">
        <v>782</v>
      </c>
      <c r="C330" s="28">
        <v>3585634</v>
      </c>
      <c r="D330" s="28"/>
      <c r="E330" s="27" t="s">
        <v>274</v>
      </c>
      <c r="F330" s="29" t="s">
        <v>276</v>
      </c>
      <c r="G330" s="29" t="s">
        <v>248</v>
      </c>
      <c r="H330" s="29" t="s">
        <v>316</v>
      </c>
    </row>
    <row r="331" spans="1:8" ht="22.5" x14ac:dyDescent="0.6">
      <c r="A331" s="273">
        <v>43994.642361111109</v>
      </c>
      <c r="B331" s="27" t="s">
        <v>783</v>
      </c>
      <c r="C331" s="28"/>
      <c r="D331" s="28">
        <v>813646</v>
      </c>
      <c r="E331" s="27" t="s">
        <v>291</v>
      </c>
      <c r="F331" s="29" t="s">
        <v>313</v>
      </c>
      <c r="G331" s="29" t="s">
        <v>362</v>
      </c>
      <c r="H331" s="29" t="s">
        <v>784</v>
      </c>
    </row>
    <row r="332" spans="1:8" ht="22.5" x14ac:dyDescent="0.6">
      <c r="A332" s="273">
        <v>43994.65902777778</v>
      </c>
      <c r="B332" s="27" t="s">
        <v>785</v>
      </c>
      <c r="C332" s="28"/>
      <c r="D332" s="28">
        <v>290718</v>
      </c>
      <c r="E332" s="27" t="s">
        <v>312</v>
      </c>
      <c r="F332" s="29" t="s">
        <v>313</v>
      </c>
      <c r="G332" s="29" t="s">
        <v>376</v>
      </c>
      <c r="H332" s="29" t="s">
        <v>295</v>
      </c>
    </row>
    <row r="333" spans="1:8" ht="22.5" x14ac:dyDescent="0.6">
      <c r="A333" s="273">
        <v>43995.679166666669</v>
      </c>
      <c r="B333" s="27" t="s">
        <v>785</v>
      </c>
      <c r="C333" s="28"/>
      <c r="D333" s="28">
        <v>1221144</v>
      </c>
      <c r="E333" s="27" t="s">
        <v>71</v>
      </c>
      <c r="F333" s="29" t="s">
        <v>313</v>
      </c>
      <c r="G333" s="29" t="s">
        <v>430</v>
      </c>
      <c r="H333" s="29" t="s">
        <v>752</v>
      </c>
    </row>
    <row r="334" spans="1:8" ht="22.5" x14ac:dyDescent="0.6">
      <c r="A334" s="273">
        <v>43995.682638888888</v>
      </c>
      <c r="B334" s="27" t="s">
        <v>786</v>
      </c>
      <c r="C334" s="28">
        <v>682497</v>
      </c>
      <c r="D334" s="28"/>
      <c r="E334" s="27" t="s">
        <v>274</v>
      </c>
      <c r="F334" s="29" t="s">
        <v>276</v>
      </c>
      <c r="G334" s="29" t="s">
        <v>248</v>
      </c>
      <c r="H334" s="29" t="s">
        <v>716</v>
      </c>
    </row>
    <row r="335" spans="1:8" ht="22.5" x14ac:dyDescent="0.6">
      <c r="A335" s="273">
        <v>43995.781944444447</v>
      </c>
      <c r="B335" s="27" t="s">
        <v>787</v>
      </c>
      <c r="C335" s="28"/>
      <c r="D335" s="28">
        <v>1836214</v>
      </c>
      <c r="E335" s="27" t="s">
        <v>312</v>
      </c>
      <c r="F335" s="54" t="s">
        <v>313</v>
      </c>
      <c r="G335" s="47" t="s">
        <v>376</v>
      </c>
      <c r="H335" s="29" t="s">
        <v>788</v>
      </c>
    </row>
    <row r="336" spans="1:8" ht="22.5" x14ac:dyDescent="0.6">
      <c r="A336" s="273">
        <v>43996.52847222222</v>
      </c>
      <c r="B336" s="27" t="s">
        <v>789</v>
      </c>
      <c r="C336" s="28">
        <v>4275494</v>
      </c>
      <c r="D336" s="28"/>
      <c r="E336" s="27" t="s">
        <v>274</v>
      </c>
      <c r="F336" s="54" t="s">
        <v>276</v>
      </c>
      <c r="G336" s="64" t="s">
        <v>248</v>
      </c>
      <c r="H336" s="29" t="s">
        <v>690</v>
      </c>
    </row>
    <row r="337" spans="1:8" ht="22.5" x14ac:dyDescent="0.6">
      <c r="A337" s="273">
        <v>43997.70208333333</v>
      </c>
      <c r="B337" s="27" t="s">
        <v>790</v>
      </c>
      <c r="C337" s="28"/>
      <c r="D337" s="28">
        <v>1778635</v>
      </c>
      <c r="E337" s="27" t="s">
        <v>71</v>
      </c>
      <c r="F337" s="54" t="s">
        <v>313</v>
      </c>
      <c r="G337" s="64" t="s">
        <v>430</v>
      </c>
      <c r="H337" s="29" t="s">
        <v>295</v>
      </c>
    </row>
    <row r="338" spans="1:8" ht="22.5" x14ac:dyDescent="0.6">
      <c r="A338" s="273">
        <v>44000.561805555553</v>
      </c>
      <c r="B338" s="27" t="s">
        <v>644</v>
      </c>
      <c r="C338" s="28">
        <v>1179694</v>
      </c>
      <c r="D338" s="28"/>
      <c r="E338" s="27" t="s">
        <v>274</v>
      </c>
      <c r="F338" s="54" t="s">
        <v>276</v>
      </c>
      <c r="G338" s="54" t="s">
        <v>248</v>
      </c>
      <c r="H338" s="64" t="s">
        <v>692</v>
      </c>
    </row>
    <row r="339" spans="1:8" ht="22.5" x14ac:dyDescent="0.6">
      <c r="A339" s="273">
        <v>44001.4</v>
      </c>
      <c r="B339" s="27" t="s">
        <v>669</v>
      </c>
      <c r="C339" s="28"/>
      <c r="D339" s="28">
        <v>247416</v>
      </c>
      <c r="E339" s="27" t="s">
        <v>312</v>
      </c>
      <c r="F339" s="64" t="s">
        <v>313</v>
      </c>
      <c r="G339" s="64" t="s">
        <v>376</v>
      </c>
      <c r="H339" s="64" t="s">
        <v>791</v>
      </c>
    </row>
    <row r="340" spans="1:8" ht="22.5" x14ac:dyDescent="0.6">
      <c r="A340" s="273">
        <v>44001.526388888888</v>
      </c>
      <c r="B340" s="27" t="s">
        <v>792</v>
      </c>
      <c r="C340" s="28"/>
      <c r="D340" s="28">
        <v>803939</v>
      </c>
      <c r="E340" s="27" t="s">
        <v>291</v>
      </c>
      <c r="F340" s="29" t="s">
        <v>313</v>
      </c>
      <c r="G340" s="29" t="s">
        <v>291</v>
      </c>
      <c r="H340" s="29" t="s">
        <v>344</v>
      </c>
    </row>
    <row r="341" spans="1:8" ht="22.5" x14ac:dyDescent="0.6">
      <c r="A341" s="273">
        <v>44001.761111111111</v>
      </c>
      <c r="B341" s="27" t="s">
        <v>401</v>
      </c>
      <c r="C341" s="28"/>
      <c r="D341" s="28">
        <v>1171544</v>
      </c>
      <c r="E341" s="27" t="s">
        <v>59</v>
      </c>
      <c r="F341" s="29" t="s">
        <v>313</v>
      </c>
      <c r="G341" s="29" t="s">
        <v>59</v>
      </c>
      <c r="H341" s="29" t="s">
        <v>379</v>
      </c>
    </row>
    <row r="342" spans="1:8" ht="22.5" x14ac:dyDescent="0.6">
      <c r="A342" s="273">
        <v>44003.720833333333</v>
      </c>
      <c r="B342" s="27" t="s">
        <v>793</v>
      </c>
      <c r="C342" s="28"/>
      <c r="D342" s="28">
        <v>844701</v>
      </c>
      <c r="E342" s="27" t="s">
        <v>342</v>
      </c>
      <c r="F342" s="29" t="s">
        <v>313</v>
      </c>
      <c r="G342" s="29" t="s">
        <v>343</v>
      </c>
      <c r="H342" s="64" t="s">
        <v>680</v>
      </c>
    </row>
    <row r="343" spans="1:8" ht="22.5" x14ac:dyDescent="0.6">
      <c r="A343" s="273">
        <v>44004.612500000003</v>
      </c>
      <c r="B343" s="27" t="s">
        <v>794</v>
      </c>
      <c r="C343" s="28">
        <v>4214324</v>
      </c>
      <c r="D343" s="28"/>
      <c r="E343" s="27" t="s">
        <v>274</v>
      </c>
      <c r="F343" s="33" t="s">
        <v>283</v>
      </c>
      <c r="G343" s="33" t="s">
        <v>274</v>
      </c>
      <c r="H343" s="33" t="s">
        <v>795</v>
      </c>
    </row>
    <row r="344" spans="1:8" ht="22.5" x14ac:dyDescent="0.6">
      <c r="A344" s="273">
        <v>44005.64166666667</v>
      </c>
      <c r="B344" s="27" t="s">
        <v>796</v>
      </c>
      <c r="C344" s="28">
        <v>662431</v>
      </c>
      <c r="D344" s="28"/>
      <c r="E344" s="27" t="s">
        <v>274</v>
      </c>
      <c r="F344" s="27" t="s">
        <v>276</v>
      </c>
      <c r="G344" s="29" t="s">
        <v>274</v>
      </c>
      <c r="H344" s="29" t="s">
        <v>318</v>
      </c>
    </row>
    <row r="345" spans="1:8" ht="22.5" x14ac:dyDescent="0.6">
      <c r="A345" s="273">
        <v>44006.423611111109</v>
      </c>
      <c r="B345" s="27" t="s">
        <v>797</v>
      </c>
      <c r="C345" s="28">
        <v>4131111</v>
      </c>
      <c r="D345" s="28"/>
      <c r="E345" s="27" t="s">
        <v>274</v>
      </c>
      <c r="F345" s="27" t="s">
        <v>276</v>
      </c>
      <c r="G345" s="29" t="s">
        <v>274</v>
      </c>
      <c r="H345" s="29" t="s">
        <v>349</v>
      </c>
    </row>
    <row r="346" spans="1:8" ht="22.5" x14ac:dyDescent="0.6">
      <c r="A346" s="273">
        <v>44007.554861111108</v>
      </c>
      <c r="B346" s="27" t="s">
        <v>594</v>
      </c>
      <c r="C346" s="28">
        <v>3952027</v>
      </c>
      <c r="D346" s="28"/>
      <c r="E346" s="27" t="s">
        <v>274</v>
      </c>
      <c r="F346" s="27" t="s">
        <v>276</v>
      </c>
      <c r="G346" s="29" t="s">
        <v>274</v>
      </c>
      <c r="H346" s="29" t="s">
        <v>425</v>
      </c>
    </row>
    <row r="347" spans="1:8" ht="22.5" x14ac:dyDescent="0.6">
      <c r="A347" s="273">
        <v>44008.398611111108</v>
      </c>
      <c r="B347" s="27" t="s">
        <v>798</v>
      </c>
      <c r="C347" s="28">
        <v>2257711</v>
      </c>
      <c r="D347" s="28"/>
      <c r="E347" s="27" t="s">
        <v>274</v>
      </c>
      <c r="F347" s="27" t="s">
        <v>283</v>
      </c>
      <c r="G347" s="29" t="s">
        <v>274</v>
      </c>
      <c r="H347" s="29" t="s">
        <v>280</v>
      </c>
    </row>
    <row r="348" spans="1:8" ht="22.5" x14ac:dyDescent="0.6">
      <c r="A348" s="273">
        <v>44008.456250000003</v>
      </c>
      <c r="B348" s="27" t="s">
        <v>383</v>
      </c>
      <c r="C348" s="28">
        <v>4789073</v>
      </c>
      <c r="D348" s="28"/>
      <c r="E348" s="27" t="s">
        <v>274</v>
      </c>
      <c r="F348" s="29" t="s">
        <v>276</v>
      </c>
      <c r="G348" s="29" t="s">
        <v>274</v>
      </c>
      <c r="H348" s="29" t="s">
        <v>799</v>
      </c>
    </row>
    <row r="349" spans="1:8" ht="22.5" x14ac:dyDescent="0.6">
      <c r="A349" s="273">
        <v>44008.694444444445</v>
      </c>
      <c r="B349" s="27" t="s">
        <v>800</v>
      </c>
      <c r="C349" s="28">
        <v>1697821</v>
      </c>
      <c r="D349" s="28"/>
      <c r="E349" s="27" t="s">
        <v>274</v>
      </c>
      <c r="F349" s="29" t="s">
        <v>276</v>
      </c>
      <c r="G349" s="29" t="s">
        <v>274</v>
      </c>
      <c r="H349" s="29" t="s">
        <v>802</v>
      </c>
    </row>
    <row r="350" spans="1:8" ht="22.5" x14ac:dyDescent="0.6">
      <c r="A350" s="273">
        <v>44009.482638888891</v>
      </c>
      <c r="B350" s="27" t="s">
        <v>803</v>
      </c>
      <c r="C350" s="28">
        <v>2139335</v>
      </c>
      <c r="D350" s="28"/>
      <c r="E350" s="27" t="s">
        <v>274</v>
      </c>
      <c r="F350" s="29" t="s">
        <v>276</v>
      </c>
      <c r="G350" s="29" t="s">
        <v>248</v>
      </c>
      <c r="H350" s="29" t="s">
        <v>410</v>
      </c>
    </row>
    <row r="351" spans="1:8" ht="22.5" x14ac:dyDescent="0.6">
      <c r="A351" s="273">
        <v>44009.586111111108</v>
      </c>
      <c r="B351" s="27" t="s">
        <v>804</v>
      </c>
      <c r="C351" s="28">
        <v>4836503</v>
      </c>
      <c r="D351" s="28"/>
      <c r="E351" s="27" t="s">
        <v>274</v>
      </c>
      <c r="F351" s="29" t="s">
        <v>276</v>
      </c>
      <c r="G351" s="29" t="s">
        <v>248</v>
      </c>
      <c r="H351" s="29" t="s">
        <v>434</v>
      </c>
    </row>
    <row r="352" spans="1:8" ht="22.5" x14ac:dyDescent="0.6">
      <c r="A352" s="273">
        <v>44009.661111111112</v>
      </c>
      <c r="B352" s="27" t="s">
        <v>805</v>
      </c>
      <c r="C352" s="28">
        <v>2673276</v>
      </c>
      <c r="D352" s="28"/>
      <c r="E352" s="27" t="s">
        <v>274</v>
      </c>
      <c r="F352" s="29" t="s">
        <v>276</v>
      </c>
      <c r="G352" s="29" t="s">
        <v>248</v>
      </c>
      <c r="H352" s="29" t="s">
        <v>806</v>
      </c>
    </row>
    <row r="353" spans="1:8" ht="22.5" x14ac:dyDescent="0.6">
      <c r="A353" s="273">
        <v>44013.384722222225</v>
      </c>
      <c r="B353" s="27" t="s">
        <v>583</v>
      </c>
      <c r="C353" s="28"/>
      <c r="D353" s="28">
        <v>487070</v>
      </c>
      <c r="E353" s="27" t="s">
        <v>312</v>
      </c>
      <c r="F353" s="33" t="s">
        <v>293</v>
      </c>
      <c r="G353" s="33" t="s">
        <v>312</v>
      </c>
      <c r="H353" s="33" t="s">
        <v>752</v>
      </c>
    </row>
    <row r="354" spans="1:8" ht="22.5" x14ac:dyDescent="0.6">
      <c r="A354" s="273">
        <v>44013.536111111112</v>
      </c>
      <c r="B354" s="27" t="s">
        <v>807</v>
      </c>
      <c r="C354" s="28">
        <v>4928771</v>
      </c>
      <c r="D354" s="28"/>
      <c r="E354" s="27" t="s">
        <v>274</v>
      </c>
      <c r="F354" s="33" t="s">
        <v>275</v>
      </c>
      <c r="G354" s="33" t="s">
        <v>274</v>
      </c>
      <c r="H354" s="33" t="s">
        <v>808</v>
      </c>
    </row>
    <row r="355" spans="1:8" ht="22.5" x14ac:dyDescent="0.6">
      <c r="A355" s="279">
        <v>44015.395833333336</v>
      </c>
      <c r="B355" s="27" t="s">
        <v>809</v>
      </c>
      <c r="C355" s="30"/>
      <c r="D355" s="30">
        <v>345774</v>
      </c>
      <c r="E355" s="42" t="s">
        <v>291</v>
      </c>
      <c r="F355" s="33" t="s">
        <v>292</v>
      </c>
      <c r="G355" s="33" t="s">
        <v>291</v>
      </c>
      <c r="H355" s="33" t="s">
        <v>337</v>
      </c>
    </row>
    <row r="356" spans="1:8" ht="22.5" x14ac:dyDescent="0.6">
      <c r="A356" s="273">
        <v>44015.557638888888</v>
      </c>
      <c r="B356" s="27" t="s">
        <v>810</v>
      </c>
      <c r="C356" s="28">
        <v>3067224</v>
      </c>
      <c r="D356" s="28"/>
      <c r="E356" s="27" t="s">
        <v>274</v>
      </c>
      <c r="F356" s="27" t="s">
        <v>276</v>
      </c>
      <c r="G356" s="27" t="s">
        <v>248</v>
      </c>
      <c r="H356" s="29" t="s">
        <v>802</v>
      </c>
    </row>
    <row r="357" spans="1:8" ht="22.5" x14ac:dyDescent="0.6">
      <c r="A357" s="273">
        <v>44016.505555555559</v>
      </c>
      <c r="B357" s="27" t="s">
        <v>811</v>
      </c>
      <c r="C357" s="28"/>
      <c r="D357" s="28">
        <v>911583</v>
      </c>
      <c r="E357" s="27" t="s">
        <v>342</v>
      </c>
      <c r="F357" s="65" t="s">
        <v>313</v>
      </c>
      <c r="G357" s="65" t="s">
        <v>343</v>
      </c>
      <c r="H357" s="65" t="s">
        <v>665</v>
      </c>
    </row>
    <row r="358" spans="1:8" ht="22.5" x14ac:dyDescent="0.6">
      <c r="A358" s="273">
        <v>44017.377083333333</v>
      </c>
      <c r="B358" s="27" t="s">
        <v>812</v>
      </c>
      <c r="C358" s="28">
        <v>907675</v>
      </c>
      <c r="D358" s="28"/>
      <c r="E358" s="27" t="s">
        <v>274</v>
      </c>
      <c r="F358" s="33" t="s">
        <v>275</v>
      </c>
      <c r="G358" s="33" t="s">
        <v>274</v>
      </c>
      <c r="H358" s="33" t="s">
        <v>813</v>
      </c>
    </row>
    <row r="359" spans="1:8" ht="22.5" x14ac:dyDescent="0.6">
      <c r="A359" s="279">
        <v>44017.656944444447</v>
      </c>
      <c r="B359" s="27" t="s">
        <v>814</v>
      </c>
      <c r="C359" s="30">
        <v>1734090</v>
      </c>
      <c r="D359" s="30"/>
      <c r="E359" s="42" t="s">
        <v>274</v>
      </c>
      <c r="F359" s="33" t="s">
        <v>275</v>
      </c>
      <c r="G359" s="33" t="s">
        <v>274</v>
      </c>
      <c r="H359" s="33" t="s">
        <v>570</v>
      </c>
    </row>
    <row r="360" spans="1:8" ht="22.5" x14ac:dyDescent="0.6">
      <c r="A360" s="279">
        <v>44018.393055555556</v>
      </c>
      <c r="B360" s="27" t="s">
        <v>815</v>
      </c>
      <c r="C360" s="30"/>
      <c r="D360" s="30">
        <v>1974868</v>
      </c>
      <c r="E360" s="42" t="s">
        <v>312</v>
      </c>
      <c r="F360" s="33" t="s">
        <v>292</v>
      </c>
      <c r="G360" s="33" t="s">
        <v>312</v>
      </c>
      <c r="H360" s="33" t="s">
        <v>379</v>
      </c>
    </row>
    <row r="361" spans="1:8" ht="22.5" x14ac:dyDescent="0.6">
      <c r="A361" s="274">
        <v>44018.597916666666</v>
      </c>
      <c r="B361" s="27" t="s">
        <v>816</v>
      </c>
      <c r="C361" s="30"/>
      <c r="D361" s="30">
        <v>1135945</v>
      </c>
      <c r="E361" s="31" t="s">
        <v>71</v>
      </c>
      <c r="F361" s="29" t="s">
        <v>293</v>
      </c>
      <c r="G361" s="29" t="s">
        <v>705</v>
      </c>
      <c r="H361" s="29" t="s">
        <v>682</v>
      </c>
    </row>
    <row r="362" spans="1:8" ht="22.5" x14ac:dyDescent="0.6">
      <c r="A362" s="273">
        <v>44018.675694444442</v>
      </c>
      <c r="B362" s="27" t="s">
        <v>817</v>
      </c>
      <c r="C362" s="28">
        <v>4380365</v>
      </c>
      <c r="D362" s="28"/>
      <c r="E362" s="27" t="s">
        <v>274</v>
      </c>
      <c r="F362" s="33" t="s">
        <v>283</v>
      </c>
      <c r="G362" s="33" t="s">
        <v>274</v>
      </c>
      <c r="H362" s="33" t="s">
        <v>387</v>
      </c>
    </row>
    <row r="363" spans="1:8" ht="22.5" x14ac:dyDescent="0.6">
      <c r="A363" s="273">
        <v>44018.686111111114</v>
      </c>
      <c r="B363" s="27" t="s">
        <v>818</v>
      </c>
      <c r="C363" s="28"/>
      <c r="D363" s="28">
        <v>1726945</v>
      </c>
      <c r="E363" s="27" t="s">
        <v>342</v>
      </c>
      <c r="F363" s="33" t="s">
        <v>293</v>
      </c>
      <c r="G363" s="33" t="s">
        <v>342</v>
      </c>
      <c r="H363" s="33" t="s">
        <v>422</v>
      </c>
    </row>
    <row r="364" spans="1:8" ht="22.5" x14ac:dyDescent="0.6">
      <c r="A364" s="284">
        <v>44019.531944444447</v>
      </c>
      <c r="B364" s="27" t="s">
        <v>819</v>
      </c>
      <c r="C364" s="66"/>
      <c r="D364" s="66">
        <v>1296266</v>
      </c>
      <c r="E364" s="42" t="s">
        <v>342</v>
      </c>
      <c r="F364" s="33" t="s">
        <v>292</v>
      </c>
      <c r="G364" s="33" t="s">
        <v>342</v>
      </c>
      <c r="H364" s="33" t="s">
        <v>593</v>
      </c>
    </row>
    <row r="365" spans="1:8" ht="22.5" x14ac:dyDescent="0.6">
      <c r="A365" s="273">
        <v>44019.579861111109</v>
      </c>
      <c r="B365" s="27" t="s">
        <v>820</v>
      </c>
      <c r="C365" s="28"/>
      <c r="D365" s="28">
        <v>1009154</v>
      </c>
      <c r="E365" s="27" t="s">
        <v>59</v>
      </c>
      <c r="F365" s="27" t="s">
        <v>313</v>
      </c>
      <c r="G365" s="27" t="s">
        <v>442</v>
      </c>
      <c r="H365" s="29" t="s">
        <v>295</v>
      </c>
    </row>
    <row r="366" spans="1:8" ht="22.5" x14ac:dyDescent="0.6">
      <c r="A366" s="273">
        <v>44019.70208333333</v>
      </c>
      <c r="B366" s="27" t="s">
        <v>821</v>
      </c>
      <c r="C366" s="28"/>
      <c r="D366" s="28">
        <v>1832734</v>
      </c>
      <c r="E366" s="27" t="s">
        <v>71</v>
      </c>
      <c r="F366" s="27" t="s">
        <v>313</v>
      </c>
      <c r="G366" s="29" t="s">
        <v>71</v>
      </c>
      <c r="H366" s="29" t="s">
        <v>533</v>
      </c>
    </row>
    <row r="367" spans="1:8" ht="22.5" x14ac:dyDescent="0.6">
      <c r="A367" s="273">
        <v>44019.705555555556</v>
      </c>
      <c r="B367" s="27" t="s">
        <v>758</v>
      </c>
      <c r="C367" s="28">
        <v>1213565</v>
      </c>
      <c r="D367" s="28"/>
      <c r="E367" s="27" t="s">
        <v>274</v>
      </c>
      <c r="F367" s="27" t="s">
        <v>276</v>
      </c>
      <c r="G367" s="29" t="s">
        <v>274</v>
      </c>
      <c r="H367" s="29" t="s">
        <v>425</v>
      </c>
    </row>
    <row r="368" spans="1:8" ht="22.5" x14ac:dyDescent="0.6">
      <c r="A368" s="273">
        <v>44020.376388888886</v>
      </c>
      <c r="B368" s="27" t="s">
        <v>822</v>
      </c>
      <c r="C368" s="28"/>
      <c r="D368" s="28">
        <v>1643615</v>
      </c>
      <c r="E368" s="27" t="s">
        <v>312</v>
      </c>
      <c r="F368" s="33" t="s">
        <v>293</v>
      </c>
      <c r="G368" s="33" t="s">
        <v>312</v>
      </c>
      <c r="H368" s="33" t="s">
        <v>754</v>
      </c>
    </row>
    <row r="369" spans="1:8" ht="22.5" x14ac:dyDescent="0.6">
      <c r="A369" s="273">
        <v>44020.593055555553</v>
      </c>
      <c r="B369" s="27" t="s">
        <v>823</v>
      </c>
      <c r="C369" s="28">
        <v>3108120</v>
      </c>
      <c r="D369" s="28"/>
      <c r="E369" s="27" t="s">
        <v>274</v>
      </c>
      <c r="F369" s="27" t="s">
        <v>276</v>
      </c>
      <c r="G369" s="29" t="s">
        <v>274</v>
      </c>
      <c r="H369" s="29" t="s">
        <v>536</v>
      </c>
    </row>
    <row r="370" spans="1:8" ht="22.5" x14ac:dyDescent="0.6">
      <c r="A370" s="273">
        <v>44020.633333333331</v>
      </c>
      <c r="B370" s="27" t="s">
        <v>431</v>
      </c>
      <c r="C370" s="28">
        <v>4551686</v>
      </c>
      <c r="D370" s="28"/>
      <c r="E370" s="27" t="s">
        <v>274</v>
      </c>
      <c r="F370" s="33" t="s">
        <v>283</v>
      </c>
      <c r="G370" s="33" t="s">
        <v>274</v>
      </c>
      <c r="H370" s="33" t="s">
        <v>384</v>
      </c>
    </row>
    <row r="371" spans="1:8" ht="22.5" x14ac:dyDescent="0.6">
      <c r="A371" s="273">
        <v>44021.498611111114</v>
      </c>
      <c r="B371" s="27" t="s">
        <v>741</v>
      </c>
      <c r="C371" s="28">
        <v>1761913</v>
      </c>
      <c r="D371" s="28"/>
      <c r="E371" s="27" t="s">
        <v>274</v>
      </c>
      <c r="F371" s="33" t="s">
        <v>283</v>
      </c>
      <c r="G371" s="33" t="s">
        <v>274</v>
      </c>
      <c r="H371" s="33" t="s">
        <v>570</v>
      </c>
    </row>
    <row r="372" spans="1:8" ht="22.5" x14ac:dyDescent="0.6">
      <c r="A372" s="273">
        <v>44022.406944444447</v>
      </c>
      <c r="B372" s="27" t="s">
        <v>824</v>
      </c>
      <c r="C372" s="28"/>
      <c r="D372" s="28">
        <v>1137667</v>
      </c>
      <c r="E372" s="27" t="s">
        <v>59</v>
      </c>
      <c r="F372" s="33" t="s">
        <v>293</v>
      </c>
      <c r="G372" s="33" t="s">
        <v>59</v>
      </c>
      <c r="H372" s="33" t="s">
        <v>393</v>
      </c>
    </row>
    <row r="373" spans="1:8" ht="22.5" x14ac:dyDescent="0.6">
      <c r="A373" s="273">
        <v>44023.473611111112</v>
      </c>
      <c r="B373" s="27" t="s">
        <v>825</v>
      </c>
      <c r="C373" s="28">
        <v>1314475</v>
      </c>
      <c r="D373" s="28"/>
      <c r="E373" s="27" t="s">
        <v>274</v>
      </c>
      <c r="F373" s="33" t="s">
        <v>283</v>
      </c>
      <c r="G373" s="33" t="s">
        <v>274</v>
      </c>
      <c r="H373" s="33" t="s">
        <v>464</v>
      </c>
    </row>
    <row r="374" spans="1:8" ht="22.5" x14ac:dyDescent="0.6">
      <c r="A374" s="278">
        <v>44023.556944444441</v>
      </c>
      <c r="B374" s="27" t="s">
        <v>826</v>
      </c>
      <c r="C374" s="67"/>
      <c r="D374" s="41">
        <v>1818405</v>
      </c>
      <c r="E374" s="42" t="s">
        <v>291</v>
      </c>
      <c r="F374" s="33" t="s">
        <v>293</v>
      </c>
      <c r="G374" s="33" t="s">
        <v>291</v>
      </c>
      <c r="H374" s="33" t="s">
        <v>827</v>
      </c>
    </row>
    <row r="375" spans="1:8" ht="22.5" x14ac:dyDescent="0.6">
      <c r="A375" s="273">
        <v>44023.693749999999</v>
      </c>
      <c r="B375" s="27" t="s">
        <v>828</v>
      </c>
      <c r="C375" s="45"/>
      <c r="D375" s="28">
        <v>1931489</v>
      </c>
      <c r="E375" s="27" t="s">
        <v>291</v>
      </c>
      <c r="F375" s="33" t="s">
        <v>293</v>
      </c>
      <c r="G375" s="33" t="s">
        <v>291</v>
      </c>
      <c r="H375" s="33" t="s">
        <v>752</v>
      </c>
    </row>
    <row r="376" spans="1:8" ht="22.5" x14ac:dyDescent="0.6">
      <c r="A376" s="273">
        <v>44023.727083333331</v>
      </c>
      <c r="B376" s="27" t="s">
        <v>829</v>
      </c>
      <c r="C376" s="45"/>
      <c r="D376" s="28">
        <v>102178</v>
      </c>
      <c r="E376" s="27" t="s">
        <v>312</v>
      </c>
      <c r="F376" s="33" t="s">
        <v>293</v>
      </c>
      <c r="G376" s="33" t="s">
        <v>312</v>
      </c>
      <c r="H376" s="33" t="s">
        <v>307</v>
      </c>
    </row>
    <row r="377" spans="1:8" ht="22.5" x14ac:dyDescent="0.6">
      <c r="A377" s="273">
        <v>44024.468055555553</v>
      </c>
      <c r="B377" s="27" t="s">
        <v>830</v>
      </c>
      <c r="C377" s="28">
        <v>3342309</v>
      </c>
      <c r="D377" s="28"/>
      <c r="E377" s="27" t="s">
        <v>274</v>
      </c>
      <c r="F377" s="27" t="s">
        <v>276</v>
      </c>
      <c r="G377" s="29" t="s">
        <v>274</v>
      </c>
      <c r="H377" s="29" t="s">
        <v>280</v>
      </c>
    </row>
    <row r="378" spans="1:8" ht="22.5" x14ac:dyDescent="0.6">
      <c r="A378" s="273">
        <v>44024.511805555558</v>
      </c>
      <c r="B378" s="27" t="s">
        <v>421</v>
      </c>
      <c r="C378" s="28"/>
      <c r="D378" s="28">
        <v>501656</v>
      </c>
      <c r="E378" s="27" t="s">
        <v>342</v>
      </c>
      <c r="F378" s="33" t="s">
        <v>292</v>
      </c>
      <c r="G378" s="33" t="s">
        <v>342</v>
      </c>
      <c r="H378" s="33" t="s">
        <v>360</v>
      </c>
    </row>
    <row r="379" spans="1:8" ht="22.5" x14ac:dyDescent="0.6">
      <c r="A379" s="273">
        <v>44024.568749999999</v>
      </c>
      <c r="B379" s="27" t="s">
        <v>831</v>
      </c>
      <c r="C379" s="28"/>
      <c r="D379" s="28">
        <v>876898</v>
      </c>
      <c r="E379" s="27" t="s">
        <v>59</v>
      </c>
      <c r="F379" s="33" t="s">
        <v>292</v>
      </c>
      <c r="G379" s="33" t="s">
        <v>59</v>
      </c>
      <c r="H379" s="33" t="s">
        <v>379</v>
      </c>
    </row>
    <row r="380" spans="1:8" ht="22.5" x14ac:dyDescent="0.6">
      <c r="A380" s="273">
        <v>44025.401388888888</v>
      </c>
      <c r="B380" s="27" t="s">
        <v>655</v>
      </c>
      <c r="C380" s="28"/>
      <c r="D380" s="28">
        <v>1467424</v>
      </c>
      <c r="E380" s="27" t="s">
        <v>71</v>
      </c>
      <c r="F380" s="33" t="s">
        <v>293</v>
      </c>
      <c r="G380" s="33" t="s">
        <v>71</v>
      </c>
      <c r="H380" s="33" t="s">
        <v>523</v>
      </c>
    </row>
    <row r="381" spans="1:8" ht="22.5" x14ac:dyDescent="0.6">
      <c r="A381" s="273">
        <v>44025.689583333333</v>
      </c>
      <c r="B381" s="27" t="s">
        <v>782</v>
      </c>
      <c r="C381" s="28">
        <v>1788668</v>
      </c>
      <c r="D381" s="28"/>
      <c r="E381" s="27" t="s">
        <v>274</v>
      </c>
      <c r="F381" s="27" t="s">
        <v>276</v>
      </c>
      <c r="G381" s="27" t="s">
        <v>248</v>
      </c>
      <c r="H381" s="68" t="s">
        <v>619</v>
      </c>
    </row>
    <row r="382" spans="1:8" ht="22.5" x14ac:dyDescent="0.6">
      <c r="A382" s="273">
        <v>44026.560416666667</v>
      </c>
      <c r="B382" s="27" t="s">
        <v>720</v>
      </c>
      <c r="C382" s="28"/>
      <c r="D382" s="28">
        <v>1891076</v>
      </c>
      <c r="E382" s="27" t="s">
        <v>312</v>
      </c>
      <c r="F382" s="27" t="s">
        <v>313</v>
      </c>
      <c r="G382" s="27" t="s">
        <v>376</v>
      </c>
      <c r="H382" s="68" t="s">
        <v>832</v>
      </c>
    </row>
    <row r="383" spans="1:8" ht="22.5" x14ac:dyDescent="0.6">
      <c r="A383" s="273">
        <v>44026.566666666666</v>
      </c>
      <c r="B383" s="27" t="s">
        <v>833</v>
      </c>
      <c r="C383" s="28">
        <v>2717209</v>
      </c>
      <c r="D383" s="28"/>
      <c r="E383" s="27" t="s">
        <v>274</v>
      </c>
      <c r="F383" s="27" t="s">
        <v>276</v>
      </c>
      <c r="G383" s="27" t="s">
        <v>248</v>
      </c>
      <c r="H383" s="68" t="s">
        <v>835</v>
      </c>
    </row>
    <row r="384" spans="1:8" ht="22.5" x14ac:dyDescent="0.6">
      <c r="A384" s="273">
        <v>44026.626388888886</v>
      </c>
      <c r="B384" s="27" t="s">
        <v>836</v>
      </c>
      <c r="C384" s="28">
        <v>1460291</v>
      </c>
      <c r="D384" s="28"/>
      <c r="E384" s="27" t="s">
        <v>274</v>
      </c>
      <c r="F384" s="27" t="s">
        <v>283</v>
      </c>
      <c r="G384" s="29" t="s">
        <v>274</v>
      </c>
      <c r="H384" s="29" t="s">
        <v>410</v>
      </c>
    </row>
    <row r="385" spans="1:8" ht="22.5" x14ac:dyDescent="0.6">
      <c r="A385" s="273">
        <v>44028.59652777778</v>
      </c>
      <c r="B385" s="27" t="s">
        <v>837</v>
      </c>
      <c r="C385" s="28"/>
      <c r="D385" s="28">
        <v>1739889</v>
      </c>
      <c r="E385" s="27" t="s">
        <v>291</v>
      </c>
      <c r="F385" s="27" t="s">
        <v>293</v>
      </c>
      <c r="G385" s="29" t="s">
        <v>291</v>
      </c>
      <c r="H385" s="29" t="s">
        <v>389</v>
      </c>
    </row>
    <row r="386" spans="1:8" ht="22.5" x14ac:dyDescent="0.6">
      <c r="A386" s="273">
        <v>44028.652083333334</v>
      </c>
      <c r="B386" s="27" t="s">
        <v>838</v>
      </c>
      <c r="C386" s="28">
        <v>527218</v>
      </c>
      <c r="D386" s="28"/>
      <c r="E386" s="27" t="s">
        <v>274</v>
      </c>
      <c r="F386" s="27" t="s">
        <v>276</v>
      </c>
      <c r="G386" s="29" t="s">
        <v>274</v>
      </c>
      <c r="H386" s="29" t="s">
        <v>762</v>
      </c>
    </row>
    <row r="387" spans="1:8" ht="22.5" x14ac:dyDescent="0.6">
      <c r="A387" s="273">
        <v>44029.595138888886</v>
      </c>
      <c r="B387" s="27" t="s">
        <v>839</v>
      </c>
      <c r="C387" s="28">
        <v>2350883</v>
      </c>
      <c r="D387" s="28"/>
      <c r="E387" s="27" t="s">
        <v>274</v>
      </c>
      <c r="F387" s="27" t="s">
        <v>276</v>
      </c>
      <c r="G387" s="29" t="s">
        <v>274</v>
      </c>
      <c r="H387" s="29" t="s">
        <v>489</v>
      </c>
    </row>
    <row r="388" spans="1:8" ht="22.5" x14ac:dyDescent="0.6">
      <c r="A388" s="273">
        <v>44031.515277777777</v>
      </c>
      <c r="B388" s="27" t="s">
        <v>840</v>
      </c>
      <c r="C388" s="28">
        <v>4687383</v>
      </c>
      <c r="D388" s="28"/>
      <c r="E388" s="27" t="s">
        <v>274</v>
      </c>
      <c r="F388" s="27" t="s">
        <v>276</v>
      </c>
      <c r="G388" s="29" t="s">
        <v>274</v>
      </c>
      <c r="H388" s="29" t="s">
        <v>454</v>
      </c>
    </row>
    <row r="389" spans="1:8" ht="22.5" x14ac:dyDescent="0.6">
      <c r="A389" s="273">
        <v>44031.581250000003</v>
      </c>
      <c r="B389" s="27" t="s">
        <v>841</v>
      </c>
      <c r="C389" s="28"/>
      <c r="D389" s="28">
        <v>892641</v>
      </c>
      <c r="E389" s="27" t="s">
        <v>59</v>
      </c>
      <c r="F389" s="29" t="s">
        <v>313</v>
      </c>
      <c r="G389" s="29" t="s">
        <v>59</v>
      </c>
      <c r="H389" s="29" t="s">
        <v>523</v>
      </c>
    </row>
    <row r="390" spans="1:8" ht="22.5" x14ac:dyDescent="0.6">
      <c r="A390" s="273">
        <v>44031.63958333333</v>
      </c>
      <c r="B390" s="27" t="s">
        <v>842</v>
      </c>
      <c r="C390" s="28">
        <v>975019</v>
      </c>
      <c r="D390" s="28"/>
      <c r="E390" s="27" t="s">
        <v>274</v>
      </c>
      <c r="F390" s="29" t="s">
        <v>276</v>
      </c>
      <c r="G390" s="29" t="s">
        <v>274</v>
      </c>
      <c r="H390" s="29" t="s">
        <v>671</v>
      </c>
    </row>
    <row r="391" spans="1:8" ht="22.5" x14ac:dyDescent="0.6">
      <c r="A391" s="273">
        <v>44032.456944444442</v>
      </c>
      <c r="B391" s="27" t="s">
        <v>779</v>
      </c>
      <c r="C391" s="28"/>
      <c r="D391" s="28">
        <v>1632225</v>
      </c>
      <c r="E391" s="27" t="s">
        <v>291</v>
      </c>
      <c r="F391" s="27" t="s">
        <v>313</v>
      </c>
      <c r="G391" s="29" t="s">
        <v>291</v>
      </c>
      <c r="H391" s="29" t="s">
        <v>443</v>
      </c>
    </row>
    <row r="392" spans="1:8" ht="22.5" x14ac:dyDescent="0.6">
      <c r="A392" s="273">
        <v>44032.625694444447</v>
      </c>
      <c r="B392" s="27" t="s">
        <v>843</v>
      </c>
      <c r="C392" s="28">
        <v>3717118</v>
      </c>
      <c r="D392" s="28"/>
      <c r="E392" s="27" t="s">
        <v>274</v>
      </c>
      <c r="F392" s="29" t="s">
        <v>276</v>
      </c>
      <c r="G392" s="29" t="s">
        <v>248</v>
      </c>
      <c r="H392" s="40" t="s">
        <v>845</v>
      </c>
    </row>
    <row r="393" spans="1:8" ht="22.5" x14ac:dyDescent="0.6">
      <c r="A393" s="273">
        <v>44033.454861111109</v>
      </c>
      <c r="B393" s="27" t="s">
        <v>846</v>
      </c>
      <c r="C393" s="28"/>
      <c r="D393" s="28">
        <v>1759514</v>
      </c>
      <c r="E393" s="27" t="s">
        <v>71</v>
      </c>
      <c r="F393" s="33" t="s">
        <v>293</v>
      </c>
      <c r="G393" s="33" t="s">
        <v>71</v>
      </c>
      <c r="H393" s="33" t="s">
        <v>344</v>
      </c>
    </row>
    <row r="394" spans="1:8" ht="22.5" x14ac:dyDescent="0.6">
      <c r="A394" s="273">
        <v>44033.568055555559</v>
      </c>
      <c r="B394" s="27" t="s">
        <v>847</v>
      </c>
      <c r="C394" s="28">
        <v>1769015</v>
      </c>
      <c r="D394" s="28"/>
      <c r="E394" s="27" t="s">
        <v>274</v>
      </c>
      <c r="F394" s="29" t="s">
        <v>276</v>
      </c>
      <c r="G394" s="29" t="s">
        <v>248</v>
      </c>
      <c r="H394" s="29" t="s">
        <v>647</v>
      </c>
    </row>
    <row r="395" spans="1:8" ht="22.5" x14ac:dyDescent="0.6">
      <c r="A395" s="273">
        <v>44033.740277777775</v>
      </c>
      <c r="B395" s="27" t="s">
        <v>413</v>
      </c>
      <c r="C395" s="28">
        <v>4277181</v>
      </c>
      <c r="D395" s="28"/>
      <c r="E395" s="27" t="s">
        <v>274</v>
      </c>
      <c r="F395" s="27" t="s">
        <v>276</v>
      </c>
      <c r="G395" s="69" t="s">
        <v>248</v>
      </c>
      <c r="H395" s="69" t="s">
        <v>501</v>
      </c>
    </row>
    <row r="396" spans="1:8" ht="22.5" x14ac:dyDescent="0.6">
      <c r="A396" s="273">
        <v>44034.657638888886</v>
      </c>
      <c r="B396" s="27" t="s">
        <v>848</v>
      </c>
      <c r="C396" s="28">
        <v>1923124</v>
      </c>
      <c r="D396" s="28"/>
      <c r="E396" s="27" t="s">
        <v>274</v>
      </c>
      <c r="F396" s="29" t="s">
        <v>276</v>
      </c>
      <c r="G396" s="29" t="s">
        <v>248</v>
      </c>
      <c r="H396" s="29" t="s">
        <v>289</v>
      </c>
    </row>
    <row r="397" spans="1:8" ht="22.5" x14ac:dyDescent="0.6">
      <c r="A397" s="273">
        <v>44035.509027777778</v>
      </c>
      <c r="B397" s="27" t="s">
        <v>487</v>
      </c>
      <c r="C397" s="28">
        <v>767743</v>
      </c>
      <c r="D397" s="28"/>
      <c r="E397" s="27" t="s">
        <v>274</v>
      </c>
      <c r="F397" s="27" t="s">
        <v>276</v>
      </c>
      <c r="G397" s="27" t="s">
        <v>248</v>
      </c>
      <c r="H397" s="29" t="s">
        <v>763</v>
      </c>
    </row>
    <row r="398" spans="1:8" ht="22.5" x14ac:dyDescent="0.6">
      <c r="A398" s="273">
        <v>44035.525694444441</v>
      </c>
      <c r="B398" s="27" t="s">
        <v>478</v>
      </c>
      <c r="C398" s="28"/>
      <c r="D398" s="28">
        <v>1281868</v>
      </c>
      <c r="E398" s="27" t="s">
        <v>342</v>
      </c>
      <c r="F398" s="27" t="s">
        <v>293</v>
      </c>
      <c r="G398" s="29" t="s">
        <v>342</v>
      </c>
      <c r="H398" s="29" t="s">
        <v>400</v>
      </c>
    </row>
    <row r="399" spans="1:8" ht="22.5" x14ac:dyDescent="0.6">
      <c r="A399" s="273">
        <v>44035.712500000001</v>
      </c>
      <c r="B399" s="27" t="s">
        <v>849</v>
      </c>
      <c r="C399" s="28">
        <v>822294</v>
      </c>
      <c r="D399" s="28"/>
      <c r="E399" s="27" t="s">
        <v>274</v>
      </c>
      <c r="F399" s="27" t="s">
        <v>276</v>
      </c>
      <c r="G399" s="29" t="s">
        <v>274</v>
      </c>
      <c r="H399" s="29" t="s">
        <v>561</v>
      </c>
    </row>
    <row r="400" spans="1:8" ht="22.5" x14ac:dyDescent="0.6">
      <c r="A400" s="273">
        <v>44036.465277777781</v>
      </c>
      <c r="B400" s="27" t="s">
        <v>850</v>
      </c>
      <c r="C400" s="28"/>
      <c r="D400" s="28">
        <v>672379</v>
      </c>
      <c r="E400" s="27" t="s">
        <v>342</v>
      </c>
      <c r="F400" s="33" t="s">
        <v>293</v>
      </c>
      <c r="G400" s="33" t="s">
        <v>342</v>
      </c>
      <c r="H400" s="33" t="s">
        <v>404</v>
      </c>
    </row>
    <row r="401" spans="1:8" ht="22.5" x14ac:dyDescent="0.6">
      <c r="A401" s="273">
        <v>44036.475694444445</v>
      </c>
      <c r="B401" s="27" t="s">
        <v>851</v>
      </c>
      <c r="C401" s="28">
        <v>2852641</v>
      </c>
      <c r="D401" s="28"/>
      <c r="E401" s="27" t="s">
        <v>274</v>
      </c>
      <c r="F401" s="33" t="s">
        <v>283</v>
      </c>
      <c r="G401" s="33" t="s">
        <v>274</v>
      </c>
      <c r="H401" s="33" t="s">
        <v>699</v>
      </c>
    </row>
    <row r="402" spans="1:8" ht="22.5" x14ac:dyDescent="0.6">
      <c r="A402" s="273">
        <v>44036.476388888892</v>
      </c>
      <c r="B402" s="27" t="s">
        <v>852</v>
      </c>
      <c r="C402" s="28"/>
      <c r="D402" s="28">
        <v>1311315</v>
      </c>
      <c r="E402" s="27" t="s">
        <v>59</v>
      </c>
      <c r="F402" s="29" t="s">
        <v>313</v>
      </c>
      <c r="G402" s="29" t="s">
        <v>442</v>
      </c>
      <c r="H402" s="29" t="s">
        <v>294</v>
      </c>
    </row>
    <row r="403" spans="1:8" ht="22.5" x14ac:dyDescent="0.6">
      <c r="A403" s="273">
        <v>44036.490972222222</v>
      </c>
      <c r="B403" s="27" t="s">
        <v>853</v>
      </c>
      <c r="C403" s="28">
        <v>4933580</v>
      </c>
      <c r="D403" s="28"/>
      <c r="E403" s="27" t="s">
        <v>274</v>
      </c>
      <c r="F403" s="29" t="s">
        <v>276</v>
      </c>
      <c r="G403" s="29" t="s">
        <v>248</v>
      </c>
      <c r="H403" s="70" t="s">
        <v>385</v>
      </c>
    </row>
    <row r="404" spans="1:8" ht="22.5" x14ac:dyDescent="0.6">
      <c r="A404" s="273">
        <v>44036.493750000001</v>
      </c>
      <c r="B404" s="27" t="s">
        <v>299</v>
      </c>
      <c r="C404" s="28">
        <v>916959</v>
      </c>
      <c r="D404" s="28"/>
      <c r="E404" s="27" t="s">
        <v>274</v>
      </c>
      <c r="F404" s="27" t="s">
        <v>283</v>
      </c>
      <c r="G404" s="29" t="s">
        <v>274</v>
      </c>
      <c r="H404" s="29" t="s">
        <v>525</v>
      </c>
    </row>
    <row r="405" spans="1:8" ht="22.5" x14ac:dyDescent="0.6">
      <c r="A405" s="273">
        <v>44037.477777777778</v>
      </c>
      <c r="B405" s="27" t="s">
        <v>500</v>
      </c>
      <c r="C405" s="28">
        <v>2448029</v>
      </c>
      <c r="D405" s="28"/>
      <c r="E405" s="27" t="s">
        <v>274</v>
      </c>
      <c r="F405" s="70" t="s">
        <v>276</v>
      </c>
      <c r="G405" s="70" t="s">
        <v>248</v>
      </c>
      <c r="H405" s="70" t="s">
        <v>356</v>
      </c>
    </row>
    <row r="406" spans="1:8" ht="22.5" x14ac:dyDescent="0.6">
      <c r="A406" s="273">
        <v>44037.617361111108</v>
      </c>
      <c r="B406" s="27" t="s">
        <v>854</v>
      </c>
      <c r="C406" s="28">
        <v>609824</v>
      </c>
      <c r="D406" s="28"/>
      <c r="E406" s="27" t="s">
        <v>274</v>
      </c>
      <c r="F406" s="27" t="s">
        <v>276</v>
      </c>
      <c r="G406" s="29" t="s">
        <v>274</v>
      </c>
      <c r="H406" s="70" t="s">
        <v>855</v>
      </c>
    </row>
    <row r="407" spans="1:8" ht="22.5" x14ac:dyDescent="0.6">
      <c r="A407" s="273">
        <v>44037.699305555558</v>
      </c>
      <c r="B407" s="27" t="s">
        <v>683</v>
      </c>
      <c r="C407" s="28"/>
      <c r="D407" s="28">
        <v>1977227</v>
      </c>
      <c r="E407" s="27" t="s">
        <v>71</v>
      </c>
      <c r="F407" s="33" t="s">
        <v>293</v>
      </c>
      <c r="G407" s="33" t="s">
        <v>71</v>
      </c>
      <c r="H407" s="33" t="s">
        <v>593</v>
      </c>
    </row>
    <row r="408" spans="1:8" ht="22.5" x14ac:dyDescent="0.6">
      <c r="A408" s="273">
        <v>44040.444444444445</v>
      </c>
      <c r="B408" s="27" t="s">
        <v>856</v>
      </c>
      <c r="C408" s="28"/>
      <c r="D408" s="28">
        <v>296167</v>
      </c>
      <c r="E408" s="27" t="s">
        <v>342</v>
      </c>
      <c r="F408" s="29" t="s">
        <v>313</v>
      </c>
      <c r="G408" s="29" t="s">
        <v>342</v>
      </c>
      <c r="H408" s="71" t="s">
        <v>444</v>
      </c>
    </row>
    <row r="409" spans="1:8" ht="22.5" x14ac:dyDescent="0.6">
      <c r="A409" s="273">
        <v>44040.504861111112</v>
      </c>
      <c r="B409" s="27" t="s">
        <v>779</v>
      </c>
      <c r="C409" s="28"/>
      <c r="D409" s="28">
        <v>203383</v>
      </c>
      <c r="E409" s="27" t="s">
        <v>71</v>
      </c>
      <c r="F409" s="29" t="s">
        <v>313</v>
      </c>
      <c r="G409" s="29" t="s">
        <v>430</v>
      </c>
      <c r="H409" s="29" t="s">
        <v>857</v>
      </c>
    </row>
    <row r="410" spans="1:8" ht="22.5" x14ac:dyDescent="0.6">
      <c r="A410" s="273">
        <v>44040.629861111112</v>
      </c>
      <c r="B410" s="27" t="s">
        <v>858</v>
      </c>
      <c r="C410" s="28">
        <v>1077836</v>
      </c>
      <c r="D410" s="28"/>
      <c r="E410" s="27" t="s">
        <v>274</v>
      </c>
      <c r="F410" s="29" t="s">
        <v>276</v>
      </c>
      <c r="G410" s="29" t="s">
        <v>248</v>
      </c>
      <c r="H410" s="29" t="s">
        <v>859</v>
      </c>
    </row>
    <row r="411" spans="1:8" ht="22.5" x14ac:dyDescent="0.6">
      <c r="A411" s="273">
        <v>44040.6875</v>
      </c>
      <c r="B411" s="27" t="s">
        <v>860</v>
      </c>
      <c r="C411" s="28"/>
      <c r="D411" s="28">
        <v>1004393</v>
      </c>
      <c r="E411" s="27" t="s">
        <v>342</v>
      </c>
      <c r="F411" s="29" t="s">
        <v>313</v>
      </c>
      <c r="G411" s="29" t="s">
        <v>342</v>
      </c>
      <c r="H411" s="29" t="s">
        <v>861</v>
      </c>
    </row>
    <row r="412" spans="1:8" ht="22.5" x14ac:dyDescent="0.6">
      <c r="A412" s="273">
        <v>44040.706250000003</v>
      </c>
      <c r="B412" s="27" t="s">
        <v>862</v>
      </c>
      <c r="C412" s="28">
        <v>4401052</v>
      </c>
      <c r="D412" s="28"/>
      <c r="E412" s="27" t="s">
        <v>274</v>
      </c>
      <c r="F412" s="29" t="s">
        <v>276</v>
      </c>
      <c r="G412" s="29" t="s">
        <v>248</v>
      </c>
      <c r="H412" s="29" t="s">
        <v>863</v>
      </c>
    </row>
    <row r="413" spans="1:8" ht="22.5" x14ac:dyDescent="0.6">
      <c r="A413" s="273">
        <v>44044.67291666667</v>
      </c>
      <c r="B413" s="27" t="s">
        <v>864</v>
      </c>
      <c r="C413" s="28">
        <v>1806086</v>
      </c>
      <c r="D413" s="28"/>
      <c r="E413" s="27" t="s">
        <v>274</v>
      </c>
      <c r="F413" s="33" t="s">
        <v>283</v>
      </c>
      <c r="G413" s="33" t="s">
        <v>274</v>
      </c>
      <c r="H413" s="33" t="s">
        <v>416</v>
      </c>
    </row>
    <row r="414" spans="1:8" ht="22.5" x14ac:dyDescent="0.6">
      <c r="A414" s="273">
        <v>44045.502083333333</v>
      </c>
      <c r="B414" s="27" t="s">
        <v>865</v>
      </c>
      <c r="C414" s="28">
        <v>975409</v>
      </c>
      <c r="D414" s="28"/>
      <c r="E414" s="27" t="s">
        <v>274</v>
      </c>
      <c r="F414" s="27" t="s">
        <v>283</v>
      </c>
      <c r="G414" s="29" t="s">
        <v>274</v>
      </c>
      <c r="H414" s="29" t="s">
        <v>428</v>
      </c>
    </row>
    <row r="415" spans="1:8" ht="22.5" x14ac:dyDescent="0.6">
      <c r="A415" s="273">
        <v>44045.542361111111</v>
      </c>
      <c r="B415" s="27" t="s">
        <v>866</v>
      </c>
      <c r="C415" s="28">
        <v>3279170</v>
      </c>
      <c r="D415" s="28"/>
      <c r="E415" s="27" t="s">
        <v>274</v>
      </c>
      <c r="F415" s="27" t="s">
        <v>276</v>
      </c>
      <c r="G415" s="29" t="s">
        <v>274</v>
      </c>
      <c r="H415" s="29" t="s">
        <v>335</v>
      </c>
    </row>
    <row r="416" spans="1:8" ht="22.5" x14ac:dyDescent="0.6">
      <c r="A416" s="273">
        <v>44045.60833333333</v>
      </c>
      <c r="B416" s="27" t="s">
        <v>867</v>
      </c>
      <c r="C416" s="28"/>
      <c r="D416" s="28">
        <v>946624</v>
      </c>
      <c r="E416" s="27" t="s">
        <v>342</v>
      </c>
      <c r="F416" s="27" t="s">
        <v>313</v>
      </c>
      <c r="G416" s="29" t="s">
        <v>342</v>
      </c>
      <c r="H416" s="29" t="s">
        <v>523</v>
      </c>
    </row>
    <row r="417" spans="1:8" ht="22.5" x14ac:dyDescent="0.6">
      <c r="A417" s="273">
        <v>44045.666666666664</v>
      </c>
      <c r="B417" s="27" t="s">
        <v>747</v>
      </c>
      <c r="C417" s="28">
        <v>2696355</v>
      </c>
      <c r="D417" s="28"/>
      <c r="E417" s="27" t="s">
        <v>274</v>
      </c>
      <c r="F417" s="27" t="s">
        <v>276</v>
      </c>
      <c r="G417" s="29" t="s">
        <v>274</v>
      </c>
      <c r="H417" s="29" t="s">
        <v>834</v>
      </c>
    </row>
    <row r="418" spans="1:8" ht="22.5" x14ac:dyDescent="0.6">
      <c r="A418" s="273">
        <v>44046.429861111108</v>
      </c>
      <c r="B418" s="27" t="s">
        <v>868</v>
      </c>
      <c r="C418" s="28"/>
      <c r="D418" s="28">
        <v>634696</v>
      </c>
      <c r="E418" s="27" t="s">
        <v>291</v>
      </c>
      <c r="F418" s="33" t="s">
        <v>293</v>
      </c>
      <c r="G418" s="33" t="s">
        <v>291</v>
      </c>
      <c r="H418" s="33" t="s">
        <v>679</v>
      </c>
    </row>
    <row r="419" spans="1:8" ht="22.5" x14ac:dyDescent="0.6">
      <c r="A419" s="273">
        <v>44046.479861111111</v>
      </c>
      <c r="B419" s="27" t="s">
        <v>869</v>
      </c>
      <c r="C419" s="45">
        <v>3439476</v>
      </c>
      <c r="D419" s="28"/>
      <c r="E419" s="27" t="s">
        <v>274</v>
      </c>
      <c r="F419" s="33" t="s">
        <v>283</v>
      </c>
      <c r="G419" s="33" t="s">
        <v>274</v>
      </c>
      <c r="H419" s="33" t="s">
        <v>510</v>
      </c>
    </row>
    <row r="420" spans="1:8" ht="22.5" x14ac:dyDescent="0.6">
      <c r="A420" s="273">
        <v>44046.498611111114</v>
      </c>
      <c r="B420" s="27" t="s">
        <v>836</v>
      </c>
      <c r="C420" s="28">
        <v>2364046</v>
      </c>
      <c r="D420" s="28"/>
      <c r="E420" s="27" t="s">
        <v>274</v>
      </c>
      <c r="F420" s="29" t="s">
        <v>276</v>
      </c>
      <c r="G420" s="29" t="s">
        <v>274</v>
      </c>
      <c r="H420" s="29" t="s">
        <v>646</v>
      </c>
    </row>
    <row r="421" spans="1:8" ht="22.5" x14ac:dyDescent="0.6">
      <c r="A421" s="273">
        <v>44046.732638888891</v>
      </c>
      <c r="B421" s="27" t="s">
        <v>870</v>
      </c>
      <c r="C421" s="28"/>
      <c r="D421" s="28">
        <v>288052</v>
      </c>
      <c r="E421" s="27" t="s">
        <v>71</v>
      </c>
      <c r="F421" s="33" t="s">
        <v>292</v>
      </c>
      <c r="G421" s="33" t="s">
        <v>71</v>
      </c>
      <c r="H421" s="33" t="s">
        <v>533</v>
      </c>
    </row>
    <row r="422" spans="1:8" ht="22.5" x14ac:dyDescent="0.6">
      <c r="A422" s="273">
        <v>44047.459027777775</v>
      </c>
      <c r="B422" s="27" t="s">
        <v>871</v>
      </c>
      <c r="C422" s="28">
        <v>1550609</v>
      </c>
      <c r="D422" s="28"/>
      <c r="E422" s="27" t="s">
        <v>274</v>
      </c>
      <c r="F422" s="29" t="s">
        <v>276</v>
      </c>
      <c r="G422" s="29" t="s">
        <v>248</v>
      </c>
      <c r="H422" s="29" t="s">
        <v>802</v>
      </c>
    </row>
    <row r="423" spans="1:8" ht="22.5" x14ac:dyDescent="0.6">
      <c r="A423" s="278">
        <v>44047.615277777775</v>
      </c>
      <c r="B423" s="27" t="s">
        <v>872</v>
      </c>
      <c r="C423" s="41"/>
      <c r="D423" s="41">
        <v>1566605</v>
      </c>
      <c r="E423" s="42" t="s">
        <v>291</v>
      </c>
      <c r="F423" s="33" t="s">
        <v>292</v>
      </c>
      <c r="G423" s="33" t="s">
        <v>291</v>
      </c>
      <c r="H423" s="33" t="s">
        <v>324</v>
      </c>
    </row>
    <row r="424" spans="1:8" ht="22.5" x14ac:dyDescent="0.6">
      <c r="A424" s="279">
        <v>44047.678472222222</v>
      </c>
      <c r="B424" s="27" t="s">
        <v>516</v>
      </c>
      <c r="C424" s="30">
        <v>3931277</v>
      </c>
      <c r="D424" s="30"/>
      <c r="E424" s="42" t="s">
        <v>274</v>
      </c>
      <c r="F424" s="33" t="s">
        <v>275</v>
      </c>
      <c r="G424" s="33" t="s">
        <v>274</v>
      </c>
      <c r="H424" s="33" t="s">
        <v>873</v>
      </c>
    </row>
    <row r="425" spans="1:8" ht="22.5" x14ac:dyDescent="0.6">
      <c r="A425" s="273">
        <v>44047.774305555555</v>
      </c>
      <c r="B425" s="27" t="s">
        <v>874</v>
      </c>
      <c r="C425" s="28"/>
      <c r="D425" s="28">
        <v>619428</v>
      </c>
      <c r="E425" s="27" t="s">
        <v>71</v>
      </c>
      <c r="F425" s="29" t="s">
        <v>313</v>
      </c>
      <c r="G425" s="29" t="s">
        <v>71</v>
      </c>
      <c r="H425" s="29" t="s">
        <v>584</v>
      </c>
    </row>
    <row r="426" spans="1:8" ht="22.5" x14ac:dyDescent="0.6">
      <c r="A426" s="273">
        <v>44050.402083333334</v>
      </c>
      <c r="B426" s="27" t="s">
        <v>875</v>
      </c>
      <c r="C426" s="28"/>
      <c r="D426" s="28">
        <v>760292</v>
      </c>
      <c r="E426" s="27" t="s">
        <v>59</v>
      </c>
      <c r="F426" s="29" t="s">
        <v>313</v>
      </c>
      <c r="G426" s="29" t="s">
        <v>59</v>
      </c>
      <c r="H426" s="29" t="s">
        <v>307</v>
      </c>
    </row>
    <row r="427" spans="1:8" ht="22.5" x14ac:dyDescent="0.6">
      <c r="A427" s="273">
        <v>44050.438888888886</v>
      </c>
      <c r="B427" s="27" t="s">
        <v>876</v>
      </c>
      <c r="C427" s="28"/>
      <c r="D427" s="28">
        <v>194307</v>
      </c>
      <c r="E427" s="27" t="s">
        <v>59</v>
      </c>
      <c r="F427" s="29" t="s">
        <v>313</v>
      </c>
      <c r="G427" s="29" t="s">
        <v>59</v>
      </c>
      <c r="H427" s="29" t="s">
        <v>397</v>
      </c>
    </row>
    <row r="428" spans="1:8" ht="22.5" x14ac:dyDescent="0.6">
      <c r="A428" s="273">
        <v>44050.538888888892</v>
      </c>
      <c r="B428" s="27" t="s">
        <v>877</v>
      </c>
      <c r="C428" s="28">
        <v>3526906</v>
      </c>
      <c r="D428" s="28"/>
      <c r="E428" s="27" t="s">
        <v>274</v>
      </c>
      <c r="F428" s="29" t="s">
        <v>276</v>
      </c>
      <c r="G428" s="29" t="s">
        <v>274</v>
      </c>
      <c r="H428" s="29" t="s">
        <v>406</v>
      </c>
    </row>
    <row r="429" spans="1:8" ht="22.5" x14ac:dyDescent="0.6">
      <c r="A429" s="273">
        <v>44050.697916666664</v>
      </c>
      <c r="B429" s="27" t="s">
        <v>485</v>
      </c>
      <c r="C429" s="28">
        <v>3071943</v>
      </c>
      <c r="D429" s="28"/>
      <c r="E429" s="27" t="s">
        <v>274</v>
      </c>
      <c r="F429" s="29" t="s">
        <v>276</v>
      </c>
      <c r="G429" s="29" t="s">
        <v>274</v>
      </c>
      <c r="H429" s="29" t="s">
        <v>528</v>
      </c>
    </row>
    <row r="430" spans="1:8" ht="22.5" x14ac:dyDescent="0.6">
      <c r="A430" s="273">
        <v>44051.71597222222</v>
      </c>
      <c r="B430" s="27" t="s">
        <v>878</v>
      </c>
      <c r="C430" s="28">
        <v>3639462</v>
      </c>
      <c r="D430" s="28"/>
      <c r="E430" s="27" t="s">
        <v>274</v>
      </c>
      <c r="F430" s="29" t="s">
        <v>276</v>
      </c>
      <c r="G430" s="29" t="s">
        <v>274</v>
      </c>
      <c r="H430" s="29" t="s">
        <v>335</v>
      </c>
    </row>
    <row r="431" spans="1:8" ht="22.5" x14ac:dyDescent="0.6">
      <c r="A431" s="273">
        <v>44051.736111111109</v>
      </c>
      <c r="B431" s="27" t="s">
        <v>608</v>
      </c>
      <c r="C431" s="28">
        <v>2529260</v>
      </c>
      <c r="D431" s="28"/>
      <c r="E431" s="27" t="s">
        <v>274</v>
      </c>
      <c r="F431" s="29" t="s">
        <v>276</v>
      </c>
      <c r="G431" s="29" t="s">
        <v>274</v>
      </c>
      <c r="H431" s="29" t="s">
        <v>425</v>
      </c>
    </row>
    <row r="432" spans="1:8" ht="22.5" x14ac:dyDescent="0.6">
      <c r="A432" s="273">
        <v>44052.411805555559</v>
      </c>
      <c r="B432" s="27" t="s">
        <v>879</v>
      </c>
      <c r="C432" s="28">
        <v>1450164</v>
      </c>
      <c r="D432" s="28"/>
      <c r="E432" s="27" t="s">
        <v>274</v>
      </c>
      <c r="F432" s="29" t="s">
        <v>276</v>
      </c>
      <c r="G432" s="29" t="s">
        <v>274</v>
      </c>
      <c r="H432" s="29" t="s">
        <v>355</v>
      </c>
    </row>
    <row r="433" spans="1:8" ht="22.5" x14ac:dyDescent="0.6">
      <c r="A433" s="279">
        <v>44052.458333333336</v>
      </c>
      <c r="B433" s="27" t="s">
        <v>880</v>
      </c>
      <c r="C433" s="30">
        <v>3040279</v>
      </c>
      <c r="D433" s="30"/>
      <c r="E433" s="42" t="s">
        <v>274</v>
      </c>
      <c r="F433" s="33" t="s">
        <v>275</v>
      </c>
      <c r="G433" s="33" t="s">
        <v>274</v>
      </c>
      <c r="H433" s="33" t="s">
        <v>671</v>
      </c>
    </row>
    <row r="434" spans="1:8" ht="22.5" x14ac:dyDescent="0.6">
      <c r="A434" s="273">
        <v>44053.503472222219</v>
      </c>
      <c r="B434" s="27" t="s">
        <v>881</v>
      </c>
      <c r="C434" s="28"/>
      <c r="D434" s="28">
        <v>1136068</v>
      </c>
      <c r="E434" s="27" t="s">
        <v>59</v>
      </c>
      <c r="F434" s="33" t="s">
        <v>293</v>
      </c>
      <c r="G434" s="33" t="s">
        <v>59</v>
      </c>
      <c r="H434" s="33" t="s">
        <v>469</v>
      </c>
    </row>
    <row r="435" spans="1:8" ht="22.5" x14ac:dyDescent="0.6">
      <c r="A435" s="273">
        <v>44053.515972222223</v>
      </c>
      <c r="B435" s="27" t="s">
        <v>882</v>
      </c>
      <c r="C435" s="28">
        <v>3741482</v>
      </c>
      <c r="D435" s="28"/>
      <c r="E435" s="27" t="s">
        <v>274</v>
      </c>
      <c r="F435" s="27" t="s">
        <v>276</v>
      </c>
      <c r="G435" s="29" t="s">
        <v>274</v>
      </c>
      <c r="H435" s="29" t="s">
        <v>519</v>
      </c>
    </row>
    <row r="436" spans="1:8" ht="22.5" x14ac:dyDescent="0.6">
      <c r="A436" s="273">
        <v>44053.598611111112</v>
      </c>
      <c r="B436" s="27" t="s">
        <v>883</v>
      </c>
      <c r="C436" s="28"/>
      <c r="D436" s="28">
        <v>1111893</v>
      </c>
      <c r="E436" s="27" t="s">
        <v>59</v>
      </c>
      <c r="F436" s="27" t="s">
        <v>313</v>
      </c>
      <c r="G436" s="29" t="s">
        <v>59</v>
      </c>
      <c r="H436" s="29" t="s">
        <v>322</v>
      </c>
    </row>
    <row r="437" spans="1:8" ht="22.5" x14ac:dyDescent="0.6">
      <c r="A437" s="273">
        <v>44054.712500000001</v>
      </c>
      <c r="B437" s="27" t="s">
        <v>884</v>
      </c>
      <c r="C437" s="28">
        <v>574983</v>
      </c>
      <c r="D437" s="28"/>
      <c r="E437" s="27" t="s">
        <v>274</v>
      </c>
      <c r="F437" s="33" t="s">
        <v>283</v>
      </c>
      <c r="G437" s="33" t="s">
        <v>274</v>
      </c>
      <c r="H437" s="33" t="s">
        <v>332</v>
      </c>
    </row>
    <row r="438" spans="1:8" ht="22.5" x14ac:dyDescent="0.6">
      <c r="A438" s="273">
        <v>44055.543749999997</v>
      </c>
      <c r="B438" s="27" t="s">
        <v>885</v>
      </c>
      <c r="C438" s="28">
        <v>2557103</v>
      </c>
      <c r="D438" s="28"/>
      <c r="E438" s="27" t="s">
        <v>274</v>
      </c>
      <c r="F438" s="33" t="s">
        <v>283</v>
      </c>
      <c r="G438" s="33" t="s">
        <v>274</v>
      </c>
      <c r="H438" s="33" t="s">
        <v>464</v>
      </c>
    </row>
    <row r="439" spans="1:8" ht="22.5" x14ac:dyDescent="0.6">
      <c r="A439" s="273">
        <v>44055.698611111111</v>
      </c>
      <c r="B439" s="27" t="s">
        <v>886</v>
      </c>
      <c r="C439" s="28">
        <v>2239262</v>
      </c>
      <c r="D439" s="28"/>
      <c r="E439" s="27" t="s">
        <v>274</v>
      </c>
      <c r="F439" s="33" t="s">
        <v>283</v>
      </c>
      <c r="G439" s="33" t="s">
        <v>274</v>
      </c>
      <c r="H439" s="33" t="s">
        <v>410</v>
      </c>
    </row>
    <row r="440" spans="1:8" ht="22.5" x14ac:dyDescent="0.6">
      <c r="A440" s="273">
        <v>44055.738888888889</v>
      </c>
      <c r="B440" s="27" t="s">
        <v>887</v>
      </c>
      <c r="C440" s="28">
        <v>4710919</v>
      </c>
      <c r="D440" s="28"/>
      <c r="E440" s="27" t="s">
        <v>274</v>
      </c>
      <c r="F440" s="29" t="s">
        <v>276</v>
      </c>
      <c r="G440" s="29" t="s">
        <v>248</v>
      </c>
      <c r="H440" s="29" t="s">
        <v>781</v>
      </c>
    </row>
    <row r="441" spans="1:8" ht="22.5" x14ac:dyDescent="0.6">
      <c r="A441" s="273">
        <v>44055.765277777777</v>
      </c>
      <c r="B441" s="27" t="s">
        <v>888</v>
      </c>
      <c r="C441" s="28"/>
      <c r="D441" s="28">
        <v>168429</v>
      </c>
      <c r="E441" s="27" t="s">
        <v>291</v>
      </c>
      <c r="F441" s="29" t="s">
        <v>313</v>
      </c>
      <c r="G441" s="29" t="s">
        <v>362</v>
      </c>
      <c r="H441" s="29" t="s">
        <v>523</v>
      </c>
    </row>
    <row r="442" spans="1:8" ht="22.5" x14ac:dyDescent="0.6">
      <c r="A442" s="273">
        <v>44056.67291666667</v>
      </c>
      <c r="B442" s="27" t="s">
        <v>889</v>
      </c>
      <c r="C442" s="28">
        <v>4677525</v>
      </c>
      <c r="D442" s="28"/>
      <c r="E442" s="27" t="s">
        <v>274</v>
      </c>
      <c r="F442" s="29" t="s">
        <v>276</v>
      </c>
      <c r="G442" s="29" t="s">
        <v>248</v>
      </c>
      <c r="H442" s="29" t="s">
        <v>561</v>
      </c>
    </row>
    <row r="443" spans="1:8" ht="22.5" x14ac:dyDescent="0.6">
      <c r="A443" s="273">
        <v>44057.381944444445</v>
      </c>
      <c r="B443" s="27" t="s">
        <v>890</v>
      </c>
      <c r="C443" s="28"/>
      <c r="D443" s="28">
        <v>1010309</v>
      </c>
      <c r="E443" s="27" t="s">
        <v>342</v>
      </c>
      <c r="F443" s="29" t="s">
        <v>313</v>
      </c>
      <c r="G443" s="29" t="s">
        <v>343</v>
      </c>
      <c r="H443" s="29" t="s">
        <v>891</v>
      </c>
    </row>
    <row r="444" spans="1:8" ht="22.5" x14ac:dyDescent="0.6">
      <c r="A444" s="273">
        <v>44057.511111111111</v>
      </c>
      <c r="B444" s="27" t="s">
        <v>892</v>
      </c>
      <c r="C444" s="28">
        <v>551926</v>
      </c>
      <c r="D444" s="28"/>
      <c r="E444" s="27" t="s">
        <v>274</v>
      </c>
      <c r="F444" s="29" t="s">
        <v>276</v>
      </c>
      <c r="G444" s="29" t="s">
        <v>248</v>
      </c>
      <c r="H444" s="29" t="s">
        <v>285</v>
      </c>
    </row>
    <row r="445" spans="1:8" ht="22.5" x14ac:dyDescent="0.6">
      <c r="A445" s="273">
        <v>44057.628472222219</v>
      </c>
      <c r="B445" s="27" t="s">
        <v>893</v>
      </c>
      <c r="C445" s="28">
        <v>4134685</v>
      </c>
      <c r="D445" s="28"/>
      <c r="E445" s="27" t="s">
        <v>274</v>
      </c>
      <c r="F445" s="29" t="s">
        <v>276</v>
      </c>
      <c r="G445" s="29" t="s">
        <v>248</v>
      </c>
      <c r="H445" s="29" t="s">
        <v>340</v>
      </c>
    </row>
    <row r="446" spans="1:8" ht="22.5" x14ac:dyDescent="0.6">
      <c r="A446" s="273">
        <v>44058.394444444442</v>
      </c>
      <c r="B446" s="27" t="s">
        <v>713</v>
      </c>
      <c r="C446" s="28">
        <v>2660339</v>
      </c>
      <c r="D446" s="28"/>
      <c r="E446" s="27" t="s">
        <v>274</v>
      </c>
      <c r="F446" s="29" t="s">
        <v>276</v>
      </c>
      <c r="G446" s="29" t="s">
        <v>248</v>
      </c>
      <c r="H446" s="29" t="s">
        <v>525</v>
      </c>
    </row>
    <row r="447" spans="1:8" ht="22.5" x14ac:dyDescent="0.6">
      <c r="A447" s="273">
        <v>44059.416666666664</v>
      </c>
      <c r="B447" s="27" t="s">
        <v>894</v>
      </c>
      <c r="C447" s="28"/>
      <c r="D447" s="28">
        <v>1741362</v>
      </c>
      <c r="E447" s="27" t="s">
        <v>71</v>
      </c>
      <c r="F447" s="29" t="s">
        <v>313</v>
      </c>
      <c r="G447" s="29" t="s">
        <v>430</v>
      </c>
      <c r="H447" s="29" t="s">
        <v>447</v>
      </c>
    </row>
    <row r="448" spans="1:8" ht="22.5" x14ac:dyDescent="0.6">
      <c r="A448" s="280">
        <v>44060.447222222225</v>
      </c>
      <c r="B448" s="27" t="s">
        <v>512</v>
      </c>
      <c r="C448" s="41">
        <v>3913082</v>
      </c>
      <c r="D448" s="41"/>
      <c r="E448" s="31" t="s">
        <v>274</v>
      </c>
      <c r="F448" s="29" t="s">
        <v>276</v>
      </c>
      <c r="G448" s="29" t="s">
        <v>248</v>
      </c>
      <c r="H448" s="29" t="s">
        <v>370</v>
      </c>
    </row>
    <row r="449" spans="1:8" ht="22.5" x14ac:dyDescent="0.6">
      <c r="A449" s="273">
        <v>44060.534722222219</v>
      </c>
      <c r="B449" s="27" t="s">
        <v>895</v>
      </c>
      <c r="C449" s="28">
        <v>4053596</v>
      </c>
      <c r="D449" s="28"/>
      <c r="E449" s="27" t="s">
        <v>274</v>
      </c>
      <c r="F449" s="29" t="s">
        <v>276</v>
      </c>
      <c r="G449" s="29" t="s">
        <v>248</v>
      </c>
      <c r="H449" s="72" t="s">
        <v>696</v>
      </c>
    </row>
    <row r="450" spans="1:8" ht="22.5" x14ac:dyDescent="0.6">
      <c r="A450" s="273">
        <v>44061.631249999999</v>
      </c>
      <c r="B450" s="27" t="s">
        <v>896</v>
      </c>
      <c r="C450" s="28"/>
      <c r="D450" s="28">
        <v>1176289</v>
      </c>
      <c r="E450" s="27" t="s">
        <v>71</v>
      </c>
      <c r="F450" s="29" t="s">
        <v>313</v>
      </c>
      <c r="G450" s="29" t="s">
        <v>430</v>
      </c>
      <c r="H450" s="72" t="s">
        <v>784</v>
      </c>
    </row>
    <row r="451" spans="1:8" ht="22.5" x14ac:dyDescent="0.6">
      <c r="A451" s="273">
        <v>44062.640277777777</v>
      </c>
      <c r="B451" s="27" t="s">
        <v>897</v>
      </c>
      <c r="C451" s="28">
        <v>2652088</v>
      </c>
      <c r="D451" s="28"/>
      <c r="E451" s="27" t="s">
        <v>274</v>
      </c>
      <c r="F451" s="29" t="s">
        <v>276</v>
      </c>
      <c r="G451" s="29" t="s">
        <v>248</v>
      </c>
      <c r="H451" s="29" t="s">
        <v>799</v>
      </c>
    </row>
    <row r="452" spans="1:8" ht="22.5" x14ac:dyDescent="0.6">
      <c r="A452" s="273">
        <v>44063.377083333333</v>
      </c>
      <c r="B452" s="27" t="s">
        <v>553</v>
      </c>
      <c r="C452" s="28">
        <v>4634126</v>
      </c>
      <c r="D452" s="28"/>
      <c r="E452" s="27" t="s">
        <v>274</v>
      </c>
      <c r="F452" s="27" t="s">
        <v>283</v>
      </c>
      <c r="G452" s="29" t="s">
        <v>274</v>
      </c>
      <c r="H452" s="29" t="s">
        <v>616</v>
      </c>
    </row>
    <row r="453" spans="1:8" ht="22.5" x14ac:dyDescent="0.6">
      <c r="A453" s="273">
        <v>44063.489583333336</v>
      </c>
      <c r="B453" s="27" t="s">
        <v>898</v>
      </c>
      <c r="C453" s="28"/>
      <c r="D453" s="28">
        <v>1143886</v>
      </c>
      <c r="E453" s="27" t="s">
        <v>291</v>
      </c>
      <c r="F453" s="27" t="s">
        <v>293</v>
      </c>
      <c r="G453" s="29" t="s">
        <v>291</v>
      </c>
      <c r="H453" s="29" t="s">
        <v>725</v>
      </c>
    </row>
    <row r="454" spans="1:8" ht="22.5" x14ac:dyDescent="0.6">
      <c r="A454" s="273">
        <v>44063.57916666667</v>
      </c>
      <c r="B454" s="27" t="s">
        <v>899</v>
      </c>
      <c r="C454" s="28"/>
      <c r="D454" s="28">
        <v>956561</v>
      </c>
      <c r="E454" s="27" t="s">
        <v>342</v>
      </c>
      <c r="F454" s="27" t="s">
        <v>293</v>
      </c>
      <c r="G454" s="29" t="s">
        <v>342</v>
      </c>
      <c r="H454" s="29" t="s">
        <v>393</v>
      </c>
    </row>
    <row r="455" spans="1:8" ht="22.5" x14ac:dyDescent="0.6">
      <c r="A455" s="273">
        <v>44063.674305555556</v>
      </c>
      <c r="B455" s="27" t="s">
        <v>487</v>
      </c>
      <c r="C455" s="28">
        <v>772010</v>
      </c>
      <c r="D455" s="28"/>
      <c r="E455" s="27" t="s">
        <v>274</v>
      </c>
      <c r="F455" s="27" t="s">
        <v>283</v>
      </c>
      <c r="G455" s="29" t="s">
        <v>274</v>
      </c>
      <c r="H455" s="29" t="s">
        <v>737</v>
      </c>
    </row>
    <row r="456" spans="1:8" ht="22.5" x14ac:dyDescent="0.6">
      <c r="A456" s="273">
        <v>44064.499305555553</v>
      </c>
      <c r="B456" s="27" t="s">
        <v>900</v>
      </c>
      <c r="C456" s="28">
        <v>4276016</v>
      </c>
      <c r="D456" s="28"/>
      <c r="E456" s="27" t="s">
        <v>274</v>
      </c>
      <c r="F456" s="27" t="s">
        <v>283</v>
      </c>
      <c r="G456" s="29" t="s">
        <v>274</v>
      </c>
      <c r="H456" s="29" t="s">
        <v>671</v>
      </c>
    </row>
    <row r="457" spans="1:8" ht="22.5" x14ac:dyDescent="0.6">
      <c r="A457" s="273">
        <v>44065.555555555555</v>
      </c>
      <c r="B457" s="27" t="s">
        <v>901</v>
      </c>
      <c r="C457" s="28">
        <v>2182531</v>
      </c>
      <c r="D457" s="28"/>
      <c r="E457" s="27" t="s">
        <v>274</v>
      </c>
      <c r="F457" s="27" t="s">
        <v>276</v>
      </c>
      <c r="G457" s="29" t="s">
        <v>274</v>
      </c>
      <c r="H457" s="29" t="s">
        <v>873</v>
      </c>
    </row>
    <row r="458" spans="1:8" ht="22.5" x14ac:dyDescent="0.6">
      <c r="A458" s="273">
        <v>44065.626388888886</v>
      </c>
      <c r="B458" s="27" t="s">
        <v>902</v>
      </c>
      <c r="C458" s="28"/>
      <c r="D458" s="28">
        <v>730734</v>
      </c>
      <c r="E458" s="27" t="s">
        <v>71</v>
      </c>
      <c r="F458" s="27" t="s">
        <v>313</v>
      </c>
      <c r="G458" s="29" t="s">
        <v>71</v>
      </c>
      <c r="H458" s="29" t="s">
        <v>508</v>
      </c>
    </row>
    <row r="459" spans="1:8" ht="22.5" x14ac:dyDescent="0.6">
      <c r="A459" s="273">
        <v>44065.784722222219</v>
      </c>
      <c r="B459" s="27" t="s">
        <v>903</v>
      </c>
      <c r="C459" s="28">
        <v>3529910</v>
      </c>
      <c r="D459" s="28"/>
      <c r="E459" s="27" t="s">
        <v>274</v>
      </c>
      <c r="F459" s="27" t="s">
        <v>276</v>
      </c>
      <c r="G459" s="29" t="s">
        <v>274</v>
      </c>
      <c r="H459" s="29" t="s">
        <v>484</v>
      </c>
    </row>
    <row r="460" spans="1:8" s="73" customFormat="1" ht="22.5" x14ac:dyDescent="0.6">
      <c r="A460" s="273">
        <v>44065.788194444445</v>
      </c>
      <c r="B460" s="27" t="s">
        <v>531</v>
      </c>
      <c r="C460" s="28">
        <v>1428365</v>
      </c>
      <c r="D460" s="28"/>
      <c r="E460" s="27" t="s">
        <v>274</v>
      </c>
      <c r="F460" s="27" t="s">
        <v>276</v>
      </c>
      <c r="G460" s="29" t="s">
        <v>274</v>
      </c>
      <c r="H460" s="29" t="s">
        <v>616</v>
      </c>
    </row>
    <row r="461" spans="1:8" s="73" customFormat="1" ht="22.5" x14ac:dyDescent="0.6">
      <c r="A461" s="273">
        <v>44066.385416666664</v>
      </c>
      <c r="B461" s="27" t="s">
        <v>904</v>
      </c>
      <c r="C461" s="28"/>
      <c r="D461" s="28">
        <v>492102</v>
      </c>
      <c r="E461" s="27" t="s">
        <v>312</v>
      </c>
      <c r="F461" s="27" t="s">
        <v>313</v>
      </c>
      <c r="G461" s="29" t="s">
        <v>312</v>
      </c>
      <c r="H461" s="29" t="s">
        <v>307</v>
      </c>
    </row>
    <row r="462" spans="1:8" s="73" customFormat="1" ht="22.5" x14ac:dyDescent="0.6">
      <c r="A462" s="273">
        <v>44066.73541666667</v>
      </c>
      <c r="B462" s="27" t="s">
        <v>399</v>
      </c>
      <c r="C462" s="28"/>
      <c r="D462" s="28">
        <v>1914512</v>
      </c>
      <c r="E462" s="27" t="s">
        <v>291</v>
      </c>
      <c r="F462" s="27" t="s">
        <v>313</v>
      </c>
      <c r="G462" s="29" t="s">
        <v>291</v>
      </c>
      <c r="H462" s="29" t="s">
        <v>358</v>
      </c>
    </row>
    <row r="463" spans="1:8" s="73" customFormat="1" ht="22.5" x14ac:dyDescent="0.6">
      <c r="A463" s="273">
        <v>44067.630555555559</v>
      </c>
      <c r="B463" s="27" t="s">
        <v>905</v>
      </c>
      <c r="C463" s="28"/>
      <c r="D463" s="28">
        <v>1066850</v>
      </c>
      <c r="E463" s="27" t="s">
        <v>59</v>
      </c>
      <c r="F463" s="29" t="s">
        <v>313</v>
      </c>
      <c r="G463" s="29" t="s">
        <v>442</v>
      </c>
      <c r="H463" s="29" t="s">
        <v>358</v>
      </c>
    </row>
    <row r="464" spans="1:8" s="73" customFormat="1" ht="22.5" x14ac:dyDescent="0.6">
      <c r="A464" s="273">
        <v>44068.46875</v>
      </c>
      <c r="B464" s="27" t="s">
        <v>906</v>
      </c>
      <c r="C464" s="28">
        <v>2426491</v>
      </c>
      <c r="D464" s="28"/>
      <c r="E464" s="27" t="s">
        <v>274</v>
      </c>
      <c r="F464" s="29" t="s">
        <v>276</v>
      </c>
      <c r="G464" s="29" t="s">
        <v>248</v>
      </c>
      <c r="H464" s="29" t="s">
        <v>907</v>
      </c>
    </row>
    <row r="465" spans="1:8" s="73" customFormat="1" ht="22.5" x14ac:dyDescent="0.6">
      <c r="A465" s="273">
        <v>44068.506249999999</v>
      </c>
      <c r="B465" s="27" t="s">
        <v>908</v>
      </c>
      <c r="C465" s="28"/>
      <c r="D465" s="28">
        <v>719296</v>
      </c>
      <c r="E465" s="27" t="s">
        <v>342</v>
      </c>
      <c r="F465" s="29" t="s">
        <v>313</v>
      </c>
      <c r="G465" s="29" t="s">
        <v>343</v>
      </c>
      <c r="H465" s="29" t="s">
        <v>374</v>
      </c>
    </row>
    <row r="466" spans="1:8" s="73" customFormat="1" ht="22.5" x14ac:dyDescent="0.6">
      <c r="A466" s="273">
        <v>44068.69027777778</v>
      </c>
      <c r="B466" s="27" t="s">
        <v>909</v>
      </c>
      <c r="C466" s="28">
        <v>2274047</v>
      </c>
      <c r="D466" s="28"/>
      <c r="E466" s="27" t="s">
        <v>274</v>
      </c>
      <c r="F466" s="29" t="s">
        <v>276</v>
      </c>
      <c r="G466" s="29" t="s">
        <v>248</v>
      </c>
      <c r="H466" s="29" t="s">
        <v>762</v>
      </c>
    </row>
    <row r="467" spans="1:8" s="73" customFormat="1" ht="22.5" x14ac:dyDescent="0.6">
      <c r="A467" s="273">
        <v>44069.738194444442</v>
      </c>
      <c r="B467" s="27" t="s">
        <v>910</v>
      </c>
      <c r="C467" s="28"/>
      <c r="D467" s="28">
        <v>572297</v>
      </c>
      <c r="E467" s="27" t="s">
        <v>71</v>
      </c>
      <c r="F467" s="29" t="s">
        <v>313</v>
      </c>
      <c r="G467" s="29" t="s">
        <v>430</v>
      </c>
      <c r="H467" s="29" t="s">
        <v>393</v>
      </c>
    </row>
    <row r="468" spans="1:8" s="73" customFormat="1" ht="22.5" x14ac:dyDescent="0.6">
      <c r="A468" s="273">
        <v>44069.78125</v>
      </c>
      <c r="B468" s="27" t="s">
        <v>608</v>
      </c>
      <c r="C468" s="28">
        <v>2417928</v>
      </c>
      <c r="D468" s="28"/>
      <c r="E468" s="27" t="s">
        <v>274</v>
      </c>
      <c r="F468" s="29" t="s">
        <v>276</v>
      </c>
      <c r="G468" s="29" t="s">
        <v>248</v>
      </c>
      <c r="H468" s="29" t="s">
        <v>911</v>
      </c>
    </row>
    <row r="469" spans="1:8" s="73" customFormat="1" ht="22.5" x14ac:dyDescent="0.6">
      <c r="A469" s="273">
        <v>44070.453472222223</v>
      </c>
      <c r="B469" s="27" t="s">
        <v>675</v>
      </c>
      <c r="C469" s="28">
        <v>1028603</v>
      </c>
      <c r="D469" s="28"/>
      <c r="E469" s="27" t="s">
        <v>274</v>
      </c>
      <c r="F469" s="29" t="s">
        <v>276</v>
      </c>
      <c r="G469" s="29" t="s">
        <v>248</v>
      </c>
      <c r="H469" s="29" t="s">
        <v>426</v>
      </c>
    </row>
    <row r="470" spans="1:8" s="73" customFormat="1" ht="22.5" x14ac:dyDescent="0.6">
      <c r="A470" s="273">
        <v>44070.769444444442</v>
      </c>
      <c r="B470" s="27" t="s">
        <v>912</v>
      </c>
      <c r="C470" s="28">
        <v>1290317</v>
      </c>
      <c r="D470" s="28"/>
      <c r="E470" s="27" t="s">
        <v>274</v>
      </c>
      <c r="F470" s="29" t="s">
        <v>276</v>
      </c>
      <c r="G470" s="29" t="s">
        <v>248</v>
      </c>
      <c r="H470" s="29" t="s">
        <v>414</v>
      </c>
    </row>
    <row r="471" spans="1:8" s="73" customFormat="1" ht="22.5" x14ac:dyDescent="0.6">
      <c r="A471" s="273">
        <v>44071.415972222225</v>
      </c>
      <c r="B471" s="27" t="s">
        <v>913</v>
      </c>
      <c r="C471" s="28"/>
      <c r="D471" s="28">
        <v>1387163</v>
      </c>
      <c r="E471" s="27" t="s">
        <v>312</v>
      </c>
      <c r="F471" s="29" t="s">
        <v>313</v>
      </c>
      <c r="G471" s="29" t="s">
        <v>376</v>
      </c>
      <c r="H471" s="29" t="s">
        <v>914</v>
      </c>
    </row>
    <row r="472" spans="1:8" s="73" customFormat="1" ht="22.5" x14ac:dyDescent="0.6">
      <c r="A472" s="273">
        <v>44071.447222222225</v>
      </c>
      <c r="B472" s="27" t="s">
        <v>874</v>
      </c>
      <c r="C472" s="28"/>
      <c r="D472" s="28">
        <v>201099</v>
      </c>
      <c r="E472" s="27" t="s">
        <v>71</v>
      </c>
      <c r="F472" s="29" t="s">
        <v>313</v>
      </c>
      <c r="G472" s="29" t="s">
        <v>430</v>
      </c>
      <c r="H472" s="29" t="s">
        <v>857</v>
      </c>
    </row>
    <row r="473" spans="1:8" s="73" customFormat="1" ht="22.5" x14ac:dyDescent="0.6">
      <c r="A473" s="273">
        <v>44075.465277777781</v>
      </c>
      <c r="B473" s="27" t="s">
        <v>915</v>
      </c>
      <c r="C473" s="28">
        <v>1544009</v>
      </c>
      <c r="D473" s="28"/>
      <c r="E473" s="27" t="s">
        <v>274</v>
      </c>
      <c r="F473" s="29" t="s">
        <v>276</v>
      </c>
      <c r="G473" s="48" t="s">
        <v>248</v>
      </c>
      <c r="H473" s="29" t="s">
        <v>763</v>
      </c>
    </row>
    <row r="474" spans="1:8" s="73" customFormat="1" ht="22.5" x14ac:dyDescent="0.6">
      <c r="A474" s="273">
        <v>44076.397222222222</v>
      </c>
      <c r="B474" s="27" t="s">
        <v>916</v>
      </c>
      <c r="C474" s="28">
        <v>1350460</v>
      </c>
      <c r="D474" s="28"/>
      <c r="E474" s="27" t="s">
        <v>274</v>
      </c>
      <c r="F474" s="29" t="s">
        <v>276</v>
      </c>
      <c r="G474" s="29" t="s">
        <v>248</v>
      </c>
      <c r="H474" s="29" t="s">
        <v>918</v>
      </c>
    </row>
    <row r="475" spans="1:8" s="73" customFormat="1" ht="22.5" x14ac:dyDescent="0.6">
      <c r="A475" s="273">
        <v>44076.474305555559</v>
      </c>
      <c r="B475" s="27" t="s">
        <v>418</v>
      </c>
      <c r="C475" s="28"/>
      <c r="D475" s="28">
        <v>871007</v>
      </c>
      <c r="E475" s="27" t="s">
        <v>342</v>
      </c>
      <c r="F475" s="29" t="s">
        <v>313</v>
      </c>
      <c r="G475" s="29" t="s">
        <v>343</v>
      </c>
      <c r="H475" s="29" t="s">
        <v>919</v>
      </c>
    </row>
    <row r="476" spans="1:8" s="73" customFormat="1" ht="22.5" x14ac:dyDescent="0.6">
      <c r="A476" s="273">
        <v>44078.394444444442</v>
      </c>
      <c r="B476" s="27" t="s">
        <v>920</v>
      </c>
      <c r="C476" s="28">
        <v>4070286</v>
      </c>
      <c r="D476" s="28"/>
      <c r="E476" s="27" t="s">
        <v>274</v>
      </c>
      <c r="F476" s="29" t="s">
        <v>276</v>
      </c>
      <c r="G476" s="29" t="s">
        <v>248</v>
      </c>
      <c r="H476" s="29" t="s">
        <v>921</v>
      </c>
    </row>
    <row r="477" spans="1:8" s="73" customFormat="1" ht="22.5" x14ac:dyDescent="0.6">
      <c r="A477" s="273">
        <v>44078.410416666666</v>
      </c>
      <c r="B477" s="27" t="s">
        <v>922</v>
      </c>
      <c r="C477" s="28">
        <v>1856895</v>
      </c>
      <c r="D477" s="28"/>
      <c r="E477" s="27" t="s">
        <v>274</v>
      </c>
      <c r="F477" s="29" t="s">
        <v>276</v>
      </c>
      <c r="G477" s="29" t="s">
        <v>274</v>
      </c>
      <c r="H477" s="29" t="s">
        <v>505</v>
      </c>
    </row>
    <row r="478" spans="1:8" s="73" customFormat="1" ht="22.5" x14ac:dyDescent="0.6">
      <c r="A478" s="273">
        <v>44078.410416666666</v>
      </c>
      <c r="B478" s="27" t="s">
        <v>923</v>
      </c>
      <c r="C478" s="28"/>
      <c r="D478" s="28">
        <v>1343625</v>
      </c>
      <c r="E478" s="27" t="s">
        <v>342</v>
      </c>
      <c r="F478" s="29" t="s">
        <v>313</v>
      </c>
      <c r="G478" s="29" t="s">
        <v>342</v>
      </c>
      <c r="H478" s="29" t="s">
        <v>344</v>
      </c>
    </row>
    <row r="479" spans="1:8" s="73" customFormat="1" ht="22.5" x14ac:dyDescent="0.6">
      <c r="A479" s="273">
        <v>44078.45208333333</v>
      </c>
      <c r="B479" s="27" t="s">
        <v>371</v>
      </c>
      <c r="C479" s="28">
        <v>713887</v>
      </c>
      <c r="D479" s="28"/>
      <c r="E479" s="27" t="s">
        <v>274</v>
      </c>
      <c r="F479" s="29" t="s">
        <v>276</v>
      </c>
      <c r="G479" s="29" t="s">
        <v>274</v>
      </c>
      <c r="H479" s="29" t="s">
        <v>622</v>
      </c>
    </row>
    <row r="480" spans="1:8" s="73" customFormat="1" ht="22.5" x14ac:dyDescent="0.6">
      <c r="A480" s="273">
        <v>44079.381249999999</v>
      </c>
      <c r="B480" s="27" t="s">
        <v>924</v>
      </c>
      <c r="C480" s="28">
        <v>2901387</v>
      </c>
      <c r="D480" s="28"/>
      <c r="E480" s="27" t="s">
        <v>274</v>
      </c>
      <c r="F480" s="29" t="s">
        <v>276</v>
      </c>
      <c r="G480" s="29" t="s">
        <v>248</v>
      </c>
      <c r="H480" s="29" t="s">
        <v>700</v>
      </c>
    </row>
    <row r="481" spans="1:8" s="73" customFormat="1" ht="22.5" x14ac:dyDescent="0.6">
      <c r="A481" s="273">
        <v>44079.527777777781</v>
      </c>
      <c r="B481" s="27" t="s">
        <v>925</v>
      </c>
      <c r="C481" s="28">
        <v>3862413</v>
      </c>
      <c r="D481" s="28"/>
      <c r="E481" s="27" t="s">
        <v>274</v>
      </c>
      <c r="F481" s="33" t="s">
        <v>283</v>
      </c>
      <c r="G481" s="42" t="s">
        <v>274</v>
      </c>
      <c r="H481" s="42" t="s">
        <v>634</v>
      </c>
    </row>
    <row r="482" spans="1:8" s="73" customFormat="1" ht="22.5" x14ac:dyDescent="0.6">
      <c r="A482" s="273">
        <v>44080.753472222219</v>
      </c>
      <c r="B482" s="27" t="s">
        <v>926</v>
      </c>
      <c r="C482" s="28">
        <v>3786713</v>
      </c>
      <c r="D482" s="28"/>
      <c r="E482" s="27" t="s">
        <v>274</v>
      </c>
      <c r="F482" s="33" t="s">
        <v>283</v>
      </c>
      <c r="G482" s="42" t="s">
        <v>274</v>
      </c>
      <c r="H482" s="42" t="s">
        <v>695</v>
      </c>
    </row>
    <row r="483" spans="1:8" s="73" customFormat="1" ht="22.5" x14ac:dyDescent="0.6">
      <c r="A483" s="273">
        <v>44081.45208333333</v>
      </c>
      <c r="B483" s="27" t="s">
        <v>927</v>
      </c>
      <c r="C483" s="28">
        <v>684704</v>
      </c>
      <c r="D483" s="28"/>
      <c r="E483" s="27" t="s">
        <v>274</v>
      </c>
      <c r="F483" s="42" t="s">
        <v>275</v>
      </c>
      <c r="G483" s="42" t="s">
        <v>274</v>
      </c>
      <c r="H483" s="42" t="s">
        <v>525</v>
      </c>
    </row>
    <row r="484" spans="1:8" s="73" customFormat="1" ht="22.5" x14ac:dyDescent="0.6">
      <c r="A484" s="273">
        <v>44083.418055555558</v>
      </c>
      <c r="B484" s="27" t="s">
        <v>928</v>
      </c>
      <c r="C484" s="45">
        <v>2666428</v>
      </c>
      <c r="D484" s="28"/>
      <c r="E484" s="27" t="s">
        <v>274</v>
      </c>
      <c r="F484" s="42" t="s">
        <v>275</v>
      </c>
      <c r="G484" s="42" t="s">
        <v>274</v>
      </c>
      <c r="H484" s="42" t="s">
        <v>614</v>
      </c>
    </row>
    <row r="485" spans="1:8" s="73" customFormat="1" ht="22.5" x14ac:dyDescent="0.6">
      <c r="A485" s="273">
        <v>44083.652777777781</v>
      </c>
      <c r="B485" s="27" t="s">
        <v>929</v>
      </c>
      <c r="C485" s="28">
        <v>2277448</v>
      </c>
      <c r="D485" s="28"/>
      <c r="E485" s="27" t="s">
        <v>274</v>
      </c>
      <c r="F485" s="27" t="s">
        <v>283</v>
      </c>
      <c r="G485" s="29" t="s">
        <v>274</v>
      </c>
      <c r="H485" s="29" t="s">
        <v>280</v>
      </c>
    </row>
    <row r="486" spans="1:8" s="73" customFormat="1" ht="22.5" x14ac:dyDescent="0.6">
      <c r="A486" s="273">
        <v>44083.713194444441</v>
      </c>
      <c r="B486" s="27" t="s">
        <v>930</v>
      </c>
      <c r="C486" s="28">
        <v>3398360</v>
      </c>
      <c r="D486" s="28"/>
      <c r="E486" s="27" t="s">
        <v>274</v>
      </c>
      <c r="F486" s="27" t="s">
        <v>283</v>
      </c>
      <c r="G486" s="29" t="s">
        <v>274</v>
      </c>
      <c r="H486" s="29" t="s">
        <v>931</v>
      </c>
    </row>
    <row r="487" spans="1:8" s="73" customFormat="1" ht="22.5" x14ac:dyDescent="0.6">
      <c r="A487" s="273">
        <v>44084.45416666667</v>
      </c>
      <c r="B487" s="27" t="s">
        <v>932</v>
      </c>
      <c r="C487" s="28">
        <v>793077</v>
      </c>
      <c r="D487" s="28"/>
      <c r="E487" s="27" t="s">
        <v>274</v>
      </c>
      <c r="F487" s="27" t="s">
        <v>283</v>
      </c>
      <c r="G487" s="29" t="s">
        <v>274</v>
      </c>
      <c r="H487" s="29" t="s">
        <v>416</v>
      </c>
    </row>
    <row r="488" spans="1:8" s="73" customFormat="1" ht="22.5" x14ac:dyDescent="0.6">
      <c r="A488" s="273">
        <v>44085.447222222225</v>
      </c>
      <c r="B488" s="27" t="s">
        <v>933</v>
      </c>
      <c r="C488" s="28">
        <v>4242629</v>
      </c>
      <c r="D488" s="28"/>
      <c r="E488" s="27" t="s">
        <v>274</v>
      </c>
      <c r="F488" s="27" t="s">
        <v>283</v>
      </c>
      <c r="G488" s="29" t="s">
        <v>274</v>
      </c>
      <c r="H488" s="29" t="s">
        <v>464</v>
      </c>
    </row>
    <row r="489" spans="1:8" s="73" customFormat="1" ht="22.5" x14ac:dyDescent="0.6">
      <c r="A489" s="273">
        <v>44086.478472222225</v>
      </c>
      <c r="B489" s="27" t="s">
        <v>934</v>
      </c>
      <c r="C489" s="28"/>
      <c r="D489" s="28">
        <v>300617</v>
      </c>
      <c r="E489" s="27" t="s">
        <v>342</v>
      </c>
      <c r="F489" s="27" t="s">
        <v>293</v>
      </c>
      <c r="G489" s="29" t="s">
        <v>342</v>
      </c>
      <c r="H489" s="29" t="s">
        <v>360</v>
      </c>
    </row>
    <row r="490" spans="1:8" s="73" customFormat="1" ht="22.5" x14ac:dyDescent="0.6">
      <c r="A490" s="273">
        <v>44086.585416666669</v>
      </c>
      <c r="B490" s="27" t="s">
        <v>935</v>
      </c>
      <c r="C490" s="28">
        <v>3853248</v>
      </c>
      <c r="D490" s="28"/>
      <c r="E490" s="27" t="s">
        <v>274</v>
      </c>
      <c r="F490" s="27" t="s">
        <v>283</v>
      </c>
      <c r="G490" s="29" t="s">
        <v>274</v>
      </c>
      <c r="H490" s="29" t="s">
        <v>634</v>
      </c>
    </row>
    <row r="491" spans="1:8" s="73" customFormat="1" ht="22.5" x14ac:dyDescent="0.6">
      <c r="A491" s="273">
        <v>44086.606944444444</v>
      </c>
      <c r="B491" s="27" t="s">
        <v>936</v>
      </c>
      <c r="C491" s="28"/>
      <c r="D491" s="28">
        <v>1553982</v>
      </c>
      <c r="E491" s="27" t="s">
        <v>342</v>
      </c>
      <c r="F491" s="27" t="s">
        <v>293</v>
      </c>
      <c r="G491" s="29" t="s">
        <v>342</v>
      </c>
      <c r="H491" s="29" t="s">
        <v>593</v>
      </c>
    </row>
    <row r="492" spans="1:8" s="73" customFormat="1" ht="22.5" x14ac:dyDescent="0.6">
      <c r="A492" s="273">
        <v>44086.670138888891</v>
      </c>
      <c r="B492" s="27" t="s">
        <v>937</v>
      </c>
      <c r="C492" s="28">
        <v>4378791</v>
      </c>
      <c r="D492" s="28"/>
      <c r="E492" s="27" t="s">
        <v>274</v>
      </c>
      <c r="F492" s="27" t="s">
        <v>283</v>
      </c>
      <c r="G492" s="29" t="s">
        <v>274</v>
      </c>
      <c r="H492" s="29" t="s">
        <v>335</v>
      </c>
    </row>
    <row r="493" spans="1:8" s="73" customFormat="1" ht="22.5" x14ac:dyDescent="0.6">
      <c r="A493" s="273">
        <v>44086.686805555553</v>
      </c>
      <c r="B493" s="27" t="s">
        <v>938</v>
      </c>
      <c r="C493" s="28">
        <v>2828116</v>
      </c>
      <c r="D493" s="28"/>
      <c r="E493" s="27" t="s">
        <v>274</v>
      </c>
      <c r="F493" s="27" t="s">
        <v>283</v>
      </c>
      <c r="G493" s="29" t="s">
        <v>274</v>
      </c>
      <c r="H493" s="29" t="s">
        <v>425</v>
      </c>
    </row>
    <row r="494" spans="1:8" s="73" customFormat="1" ht="22.5" x14ac:dyDescent="0.6">
      <c r="A494" s="273">
        <v>44086.707638888889</v>
      </c>
      <c r="B494" s="27" t="s">
        <v>939</v>
      </c>
      <c r="C494" s="28"/>
      <c r="D494" s="28">
        <v>1322701</v>
      </c>
      <c r="E494" s="27" t="s">
        <v>312</v>
      </c>
      <c r="F494" s="27" t="s">
        <v>293</v>
      </c>
      <c r="G494" s="29" t="s">
        <v>312</v>
      </c>
      <c r="H494" s="29" t="s">
        <v>523</v>
      </c>
    </row>
    <row r="495" spans="1:8" s="73" customFormat="1" ht="22.5" x14ac:dyDescent="0.6">
      <c r="A495" s="273">
        <v>44086.770138888889</v>
      </c>
      <c r="B495" s="27" t="s">
        <v>940</v>
      </c>
      <c r="C495" s="45"/>
      <c r="D495" s="28">
        <v>337545</v>
      </c>
      <c r="E495" s="27" t="s">
        <v>71</v>
      </c>
      <c r="F495" s="42" t="s">
        <v>292</v>
      </c>
      <c r="G495" s="42" t="s">
        <v>71</v>
      </c>
      <c r="H495" s="42" t="s">
        <v>533</v>
      </c>
    </row>
    <row r="496" spans="1:8" s="73" customFormat="1" ht="22.5" x14ac:dyDescent="0.6">
      <c r="A496" s="273">
        <v>44087.515277777777</v>
      </c>
      <c r="B496" s="27" t="s">
        <v>941</v>
      </c>
      <c r="C496" s="28">
        <v>3548596</v>
      </c>
      <c r="D496" s="28"/>
      <c r="E496" s="27" t="s">
        <v>274</v>
      </c>
      <c r="F496" s="42" t="s">
        <v>275</v>
      </c>
      <c r="G496" s="42" t="s">
        <v>274</v>
      </c>
      <c r="H496" s="42" t="s">
        <v>813</v>
      </c>
    </row>
    <row r="497" spans="1:8" s="73" customFormat="1" ht="22.5" x14ac:dyDescent="0.6">
      <c r="A497" s="273">
        <v>44087.585416666669</v>
      </c>
      <c r="B497" s="27" t="s">
        <v>942</v>
      </c>
      <c r="C497" s="45">
        <v>662886</v>
      </c>
      <c r="D497" s="28"/>
      <c r="E497" s="27" t="s">
        <v>274</v>
      </c>
      <c r="F497" s="42" t="s">
        <v>275</v>
      </c>
      <c r="G497" s="42" t="s">
        <v>274</v>
      </c>
      <c r="H497" s="42" t="s">
        <v>280</v>
      </c>
    </row>
    <row r="498" spans="1:8" s="73" customFormat="1" ht="22.5" x14ac:dyDescent="0.6">
      <c r="A498" s="273">
        <v>44087.670138888891</v>
      </c>
      <c r="B498" s="27" t="s">
        <v>943</v>
      </c>
      <c r="C498" s="28"/>
      <c r="D498" s="28">
        <v>206347</v>
      </c>
      <c r="E498" s="27" t="s">
        <v>342</v>
      </c>
      <c r="F498" s="42" t="s">
        <v>292</v>
      </c>
      <c r="G498" s="42" t="s">
        <v>342</v>
      </c>
      <c r="H498" s="42" t="s">
        <v>523</v>
      </c>
    </row>
    <row r="499" spans="1:8" s="73" customFormat="1" ht="22.5" x14ac:dyDescent="0.6">
      <c r="A499" s="285">
        <v>44087.69027777778</v>
      </c>
      <c r="B499" s="74" t="s">
        <v>944</v>
      </c>
      <c r="C499" s="75"/>
      <c r="D499" s="75">
        <v>287340</v>
      </c>
      <c r="E499" s="74" t="s">
        <v>291</v>
      </c>
      <c r="F499" s="75" t="s">
        <v>313</v>
      </c>
      <c r="G499" s="74" t="s">
        <v>362</v>
      </c>
      <c r="H499" s="74" t="s">
        <v>491</v>
      </c>
    </row>
    <row r="500" spans="1:8" s="73" customFormat="1" ht="22.5" x14ac:dyDescent="0.6">
      <c r="A500" s="285">
        <v>44087.78402777778</v>
      </c>
      <c r="B500" s="74" t="s">
        <v>945</v>
      </c>
      <c r="C500" s="75">
        <v>1907466</v>
      </c>
      <c r="D500" s="75"/>
      <c r="E500" s="74" t="s">
        <v>274</v>
      </c>
      <c r="F500" s="75" t="s">
        <v>276</v>
      </c>
      <c r="G500" s="74" t="s">
        <v>248</v>
      </c>
      <c r="H500" s="74" t="s">
        <v>690</v>
      </c>
    </row>
    <row r="501" spans="1:8" s="73" customFormat="1" ht="22.5" x14ac:dyDescent="0.6">
      <c r="A501" s="285">
        <v>44088.686805555553</v>
      </c>
      <c r="B501" s="74" t="s">
        <v>710</v>
      </c>
      <c r="C501" s="75">
        <v>3740309</v>
      </c>
      <c r="D501" s="75"/>
      <c r="E501" s="74" t="s">
        <v>274</v>
      </c>
      <c r="F501" s="75" t="s">
        <v>276</v>
      </c>
      <c r="G501" s="74" t="s">
        <v>248</v>
      </c>
      <c r="H501" s="74" t="s">
        <v>384</v>
      </c>
    </row>
    <row r="502" spans="1:8" s="73" customFormat="1" ht="22.5" x14ac:dyDescent="0.6">
      <c r="A502" s="285">
        <v>44089.395138888889</v>
      </c>
      <c r="B502" s="74" t="s">
        <v>413</v>
      </c>
      <c r="C502" s="75">
        <v>4612603</v>
      </c>
      <c r="D502" s="75"/>
      <c r="E502" s="74" t="s">
        <v>274</v>
      </c>
      <c r="F502" s="75" t="s">
        <v>276</v>
      </c>
      <c r="G502" s="74" t="s">
        <v>248</v>
      </c>
      <c r="H502" s="74" t="s">
        <v>280</v>
      </c>
    </row>
    <row r="503" spans="1:8" s="73" customFormat="1" ht="22.5" x14ac:dyDescent="0.6">
      <c r="A503" s="285">
        <v>44089.480555555558</v>
      </c>
      <c r="B503" s="74" t="s">
        <v>946</v>
      </c>
      <c r="C503" s="75"/>
      <c r="D503" s="75">
        <v>1855195</v>
      </c>
      <c r="E503" s="74" t="s">
        <v>342</v>
      </c>
      <c r="F503" s="75" t="s">
        <v>313</v>
      </c>
      <c r="G503" s="74" t="s">
        <v>343</v>
      </c>
      <c r="H503" s="74" t="s">
        <v>637</v>
      </c>
    </row>
    <row r="504" spans="1:8" s="73" customFormat="1" ht="22.5" x14ac:dyDescent="0.6">
      <c r="A504" s="285">
        <v>44089.579861111109</v>
      </c>
      <c r="B504" s="74" t="s">
        <v>947</v>
      </c>
      <c r="C504" s="75"/>
      <c r="D504" s="75">
        <v>583021</v>
      </c>
      <c r="E504" s="74" t="s">
        <v>71</v>
      </c>
      <c r="F504" s="75" t="s">
        <v>313</v>
      </c>
      <c r="G504" s="74" t="s">
        <v>430</v>
      </c>
      <c r="H504" s="74" t="s">
        <v>550</v>
      </c>
    </row>
    <row r="505" spans="1:8" s="73" customFormat="1" ht="22.5" x14ac:dyDescent="0.6">
      <c r="A505" s="285">
        <v>44089.659722222219</v>
      </c>
      <c r="B505" s="74" t="s">
        <v>948</v>
      </c>
      <c r="C505" s="75">
        <v>2845287</v>
      </c>
      <c r="D505" s="75"/>
      <c r="E505" s="74" t="s">
        <v>274</v>
      </c>
      <c r="F505" s="75" t="s">
        <v>276</v>
      </c>
      <c r="G505" s="74" t="s">
        <v>274</v>
      </c>
      <c r="H505" s="74" t="s">
        <v>949</v>
      </c>
    </row>
    <row r="506" spans="1:8" s="73" customFormat="1" ht="22.5" x14ac:dyDescent="0.6">
      <c r="A506" s="286">
        <v>44090.464583333334</v>
      </c>
      <c r="B506" s="74" t="s">
        <v>327</v>
      </c>
      <c r="C506" s="77">
        <v>1592306</v>
      </c>
      <c r="D506" s="77"/>
      <c r="E506" s="76" t="s">
        <v>274</v>
      </c>
      <c r="F506" s="77" t="s">
        <v>276</v>
      </c>
      <c r="G506" s="76" t="s">
        <v>274</v>
      </c>
      <c r="H506" s="76" t="s">
        <v>921</v>
      </c>
    </row>
    <row r="507" spans="1:8" s="73" customFormat="1" ht="22.5" x14ac:dyDescent="0.6">
      <c r="A507" s="285">
        <v>44090.468055555553</v>
      </c>
      <c r="B507" s="74" t="s">
        <v>950</v>
      </c>
      <c r="C507" s="75">
        <v>632831</v>
      </c>
      <c r="D507" s="75"/>
      <c r="E507" s="74" t="s">
        <v>274</v>
      </c>
      <c r="F507" s="75" t="s">
        <v>276</v>
      </c>
      <c r="G507" s="74" t="s">
        <v>248</v>
      </c>
      <c r="H507" s="74" t="s">
        <v>806</v>
      </c>
    </row>
    <row r="508" spans="1:8" s="73" customFormat="1" ht="22.5" x14ac:dyDescent="0.6">
      <c r="A508" s="285">
        <v>44090.504166666666</v>
      </c>
      <c r="B508" s="74" t="s">
        <v>951</v>
      </c>
      <c r="C508" s="75"/>
      <c r="D508" s="75">
        <v>339239</v>
      </c>
      <c r="E508" s="74" t="s">
        <v>342</v>
      </c>
      <c r="F508" s="75" t="s">
        <v>313</v>
      </c>
      <c r="G508" s="74" t="s">
        <v>342</v>
      </c>
      <c r="H508" s="74" t="s">
        <v>575</v>
      </c>
    </row>
    <row r="509" spans="1:8" s="73" customFormat="1" ht="22.5" x14ac:dyDescent="0.6">
      <c r="A509" s="285">
        <v>44090.621527777781</v>
      </c>
      <c r="B509" s="74" t="s">
        <v>303</v>
      </c>
      <c r="C509" s="75">
        <v>3495483</v>
      </c>
      <c r="D509" s="75"/>
      <c r="E509" s="74" t="s">
        <v>274</v>
      </c>
      <c r="F509" s="75" t="s">
        <v>276</v>
      </c>
      <c r="G509" s="74" t="s">
        <v>274</v>
      </c>
      <c r="H509" s="74" t="s">
        <v>426</v>
      </c>
    </row>
    <row r="510" spans="1:8" ht="22.5" x14ac:dyDescent="0.6">
      <c r="A510" s="285">
        <v>44090.686805555553</v>
      </c>
      <c r="B510" s="74" t="s">
        <v>710</v>
      </c>
      <c r="C510" s="75">
        <v>3465770</v>
      </c>
      <c r="D510" s="75"/>
      <c r="E510" s="74" t="s">
        <v>274</v>
      </c>
      <c r="F510" s="33" t="s">
        <v>283</v>
      </c>
      <c r="G510" s="74" t="s">
        <v>274</v>
      </c>
      <c r="H510" s="74" t="s">
        <v>672</v>
      </c>
    </row>
    <row r="511" spans="1:8" ht="22.5" x14ac:dyDescent="0.6">
      <c r="A511" s="285">
        <v>44091.63958333333</v>
      </c>
      <c r="B511" s="74" t="s">
        <v>952</v>
      </c>
      <c r="C511" s="75"/>
      <c r="D511" s="75">
        <v>461886</v>
      </c>
      <c r="E511" s="74" t="s">
        <v>342</v>
      </c>
      <c r="F511" s="27" t="s">
        <v>293</v>
      </c>
      <c r="G511" s="74" t="s">
        <v>342</v>
      </c>
      <c r="H511" s="74" t="s">
        <v>684</v>
      </c>
    </row>
    <row r="512" spans="1:8" ht="22.5" x14ac:dyDescent="0.6">
      <c r="A512" s="285">
        <v>44091.703472222223</v>
      </c>
      <c r="B512" s="74" t="s">
        <v>953</v>
      </c>
      <c r="C512" s="75">
        <v>2406787</v>
      </c>
      <c r="D512" s="75"/>
      <c r="E512" s="74" t="s">
        <v>274</v>
      </c>
      <c r="F512" s="27" t="s">
        <v>283</v>
      </c>
      <c r="G512" s="74" t="s">
        <v>274</v>
      </c>
      <c r="H512" s="74" t="s">
        <v>366</v>
      </c>
    </row>
    <row r="513" spans="1:8" ht="22.5" x14ac:dyDescent="0.6">
      <c r="A513" s="287">
        <v>44092.744444444441</v>
      </c>
      <c r="B513" s="74" t="s">
        <v>954</v>
      </c>
      <c r="C513" s="79">
        <v>1606452</v>
      </c>
      <c r="D513" s="79"/>
      <c r="E513" s="78" t="s">
        <v>274</v>
      </c>
      <c r="F513" s="79" t="s">
        <v>276</v>
      </c>
      <c r="G513" s="78" t="s">
        <v>274</v>
      </c>
      <c r="H513" s="78" t="s">
        <v>931</v>
      </c>
    </row>
    <row r="514" spans="1:8" ht="22.5" x14ac:dyDescent="0.6">
      <c r="A514" s="287">
        <v>44093.511805555558</v>
      </c>
      <c r="B514" s="74" t="s">
        <v>955</v>
      </c>
      <c r="C514" s="79">
        <v>3209844</v>
      </c>
      <c r="D514" s="79"/>
      <c r="E514" s="78" t="s">
        <v>274</v>
      </c>
      <c r="F514" s="27" t="s">
        <v>283</v>
      </c>
      <c r="G514" s="78" t="s">
        <v>274</v>
      </c>
      <c r="H514" s="78" t="s">
        <v>956</v>
      </c>
    </row>
    <row r="515" spans="1:8" ht="22.5" x14ac:dyDescent="0.6">
      <c r="A515" s="287">
        <v>44093.690972222219</v>
      </c>
      <c r="B515" s="74" t="s">
        <v>545</v>
      </c>
      <c r="C515" s="79">
        <v>4942852</v>
      </c>
      <c r="D515" s="79"/>
      <c r="E515" s="78" t="s">
        <v>274</v>
      </c>
      <c r="F515" s="79" t="s">
        <v>276</v>
      </c>
      <c r="G515" s="78" t="s">
        <v>274</v>
      </c>
      <c r="H515" s="78" t="s">
        <v>410</v>
      </c>
    </row>
    <row r="516" spans="1:8" ht="22.5" x14ac:dyDescent="0.6">
      <c r="A516" s="287">
        <v>44094.618750000001</v>
      </c>
      <c r="B516" s="74" t="s">
        <v>753</v>
      </c>
      <c r="C516" s="79"/>
      <c r="D516" s="79">
        <v>1616534</v>
      </c>
      <c r="E516" s="78" t="s">
        <v>312</v>
      </c>
      <c r="F516" s="79" t="s">
        <v>313</v>
      </c>
      <c r="G516" s="78" t="s">
        <v>312</v>
      </c>
      <c r="H516" s="78" t="s">
        <v>307</v>
      </c>
    </row>
    <row r="517" spans="1:8" ht="22.5" x14ac:dyDescent="0.6">
      <c r="A517" s="287">
        <v>44095.527083333334</v>
      </c>
      <c r="B517" s="74" t="s">
        <v>957</v>
      </c>
      <c r="C517" s="79">
        <v>1878495</v>
      </c>
      <c r="D517" s="79"/>
      <c r="E517" s="78" t="s">
        <v>274</v>
      </c>
      <c r="F517" s="75" t="s">
        <v>276</v>
      </c>
      <c r="G517" s="78" t="s">
        <v>274</v>
      </c>
      <c r="H517" s="78" t="s">
        <v>806</v>
      </c>
    </row>
    <row r="518" spans="1:8" ht="22.5" x14ac:dyDescent="0.6">
      <c r="A518" s="287">
        <v>44097.409722222219</v>
      </c>
      <c r="B518" s="74" t="s">
        <v>958</v>
      </c>
      <c r="C518" s="79">
        <v>3475997</v>
      </c>
      <c r="D518" s="79"/>
      <c r="E518" s="78" t="s">
        <v>274</v>
      </c>
      <c r="F518" s="75" t="s">
        <v>276</v>
      </c>
      <c r="G518" s="78" t="s">
        <v>274</v>
      </c>
      <c r="H518" s="78" t="s">
        <v>835</v>
      </c>
    </row>
    <row r="519" spans="1:8" ht="22.5" x14ac:dyDescent="0.6">
      <c r="A519" s="287">
        <v>44097.656944444447</v>
      </c>
      <c r="B519" s="74" t="s">
        <v>959</v>
      </c>
      <c r="C519" s="79">
        <v>4739039</v>
      </c>
      <c r="D519" s="79"/>
      <c r="E519" s="78" t="s">
        <v>274</v>
      </c>
      <c r="F519" s="79" t="s">
        <v>276</v>
      </c>
      <c r="G519" s="78" t="s">
        <v>248</v>
      </c>
      <c r="H519" s="78" t="s">
        <v>960</v>
      </c>
    </row>
    <row r="520" spans="1:8" ht="22.5" x14ac:dyDescent="0.6">
      <c r="A520" s="287">
        <v>44098.720138888886</v>
      </c>
      <c r="B520" s="74" t="s">
        <v>961</v>
      </c>
      <c r="C520" s="79"/>
      <c r="D520" s="79">
        <v>813314</v>
      </c>
      <c r="E520" s="78" t="s">
        <v>291</v>
      </c>
      <c r="F520" s="27" t="s">
        <v>293</v>
      </c>
      <c r="G520" s="78" t="s">
        <v>291</v>
      </c>
      <c r="H520" s="78" t="s">
        <v>962</v>
      </c>
    </row>
    <row r="521" spans="1:8" ht="22.5" x14ac:dyDescent="0.6">
      <c r="A521" s="287">
        <v>44099.470138888886</v>
      </c>
      <c r="B521" s="74" t="s">
        <v>963</v>
      </c>
      <c r="C521" s="79"/>
      <c r="D521" s="79">
        <v>1032270</v>
      </c>
      <c r="E521" s="78" t="s">
        <v>291</v>
      </c>
      <c r="F521" s="33" t="s">
        <v>293</v>
      </c>
      <c r="G521" s="78" t="s">
        <v>291</v>
      </c>
      <c r="H521" s="78" t="s">
        <v>447</v>
      </c>
    </row>
    <row r="522" spans="1:8" ht="22.5" x14ac:dyDescent="0.6">
      <c r="A522" s="287">
        <v>44099.773611111108</v>
      </c>
      <c r="B522" s="74" t="s">
        <v>964</v>
      </c>
      <c r="C522" s="79"/>
      <c r="D522" s="79">
        <v>630864</v>
      </c>
      <c r="E522" s="78" t="s">
        <v>71</v>
      </c>
      <c r="F522" s="33" t="s">
        <v>293</v>
      </c>
      <c r="G522" s="78" t="s">
        <v>71</v>
      </c>
      <c r="H522" s="78" t="s">
        <v>919</v>
      </c>
    </row>
    <row r="523" spans="1:8" ht="22.5" x14ac:dyDescent="0.6">
      <c r="A523" s="287">
        <v>44100.691666666666</v>
      </c>
      <c r="B523" s="74" t="s">
        <v>965</v>
      </c>
      <c r="C523" s="79"/>
      <c r="D523" s="79">
        <v>760068</v>
      </c>
      <c r="E523" s="78" t="s">
        <v>291</v>
      </c>
      <c r="F523" s="79" t="s">
        <v>313</v>
      </c>
      <c r="G523" s="78" t="s">
        <v>362</v>
      </c>
      <c r="H523" s="78" t="s">
        <v>539</v>
      </c>
    </row>
    <row r="524" spans="1:8" ht="22.5" x14ac:dyDescent="0.6">
      <c r="A524" s="287">
        <v>44101.613194444442</v>
      </c>
      <c r="B524" s="74" t="s">
        <v>966</v>
      </c>
      <c r="C524" s="79"/>
      <c r="D524" s="79">
        <v>1759290</v>
      </c>
      <c r="E524" s="78" t="s">
        <v>291</v>
      </c>
      <c r="F524" s="75" t="s">
        <v>313</v>
      </c>
      <c r="G524" s="78" t="s">
        <v>291</v>
      </c>
      <c r="H524" s="78" t="s">
        <v>832</v>
      </c>
    </row>
    <row r="525" spans="1:8" ht="22.5" x14ac:dyDescent="0.6">
      <c r="A525" s="285">
        <v>44101.712500000001</v>
      </c>
      <c r="B525" s="74" t="s">
        <v>967</v>
      </c>
      <c r="C525" s="75">
        <v>1674207</v>
      </c>
      <c r="D525" s="75"/>
      <c r="E525" s="74" t="s">
        <v>274</v>
      </c>
      <c r="F525" s="75" t="s">
        <v>276</v>
      </c>
      <c r="G525" s="74" t="s">
        <v>248</v>
      </c>
      <c r="H525" s="74" t="s">
        <v>622</v>
      </c>
    </row>
    <row r="526" spans="1:8" ht="22.5" x14ac:dyDescent="0.6">
      <c r="A526" s="285">
        <v>44101.763194444444</v>
      </c>
      <c r="B526" s="74" t="s">
        <v>968</v>
      </c>
      <c r="C526" s="75"/>
      <c r="D526" s="75">
        <v>1489554</v>
      </c>
      <c r="E526" s="74" t="s">
        <v>342</v>
      </c>
      <c r="F526" s="75" t="s">
        <v>313</v>
      </c>
      <c r="G526" s="74" t="s">
        <v>343</v>
      </c>
      <c r="H526" s="74" t="s">
        <v>550</v>
      </c>
    </row>
    <row r="527" spans="1:8" ht="22.5" x14ac:dyDescent="0.6">
      <c r="A527" s="285">
        <v>44102.486111111109</v>
      </c>
      <c r="B527" s="74" t="s">
        <v>969</v>
      </c>
      <c r="C527" s="75">
        <v>3799708</v>
      </c>
      <c r="D527" s="75"/>
      <c r="E527" s="74" t="s">
        <v>274</v>
      </c>
      <c r="F527" s="75" t="s">
        <v>276</v>
      </c>
      <c r="G527" s="74" t="s">
        <v>248</v>
      </c>
      <c r="H527" s="74" t="s">
        <v>762</v>
      </c>
    </row>
    <row r="528" spans="1:8" ht="22.5" x14ac:dyDescent="0.6">
      <c r="A528" s="285">
        <v>44102.581250000003</v>
      </c>
      <c r="B528" s="74" t="s">
        <v>970</v>
      </c>
      <c r="C528" s="75"/>
      <c r="D528" s="75">
        <v>1776026</v>
      </c>
      <c r="E528" s="74" t="s">
        <v>59</v>
      </c>
      <c r="F528" s="75" t="s">
        <v>293</v>
      </c>
      <c r="G528" s="74" t="s">
        <v>59</v>
      </c>
      <c r="H528" s="74" t="s">
        <v>322</v>
      </c>
    </row>
    <row r="529" spans="1:8" ht="22.5" x14ac:dyDescent="0.6">
      <c r="A529" s="285">
        <v>44102.646527777775</v>
      </c>
      <c r="B529" s="74" t="s">
        <v>971</v>
      </c>
      <c r="C529" s="75">
        <v>3855267</v>
      </c>
      <c r="D529" s="75"/>
      <c r="E529" s="74" t="s">
        <v>274</v>
      </c>
      <c r="F529" s="75" t="s">
        <v>283</v>
      </c>
      <c r="G529" s="74" t="s">
        <v>274</v>
      </c>
      <c r="H529" s="74" t="s">
        <v>420</v>
      </c>
    </row>
    <row r="530" spans="1:8" ht="22.5" x14ac:dyDescent="0.6">
      <c r="A530" s="285">
        <v>44102.763194444444</v>
      </c>
      <c r="B530" s="74" t="s">
        <v>476</v>
      </c>
      <c r="C530" s="75"/>
      <c r="D530" s="75">
        <v>1128143</v>
      </c>
      <c r="E530" s="74" t="s">
        <v>342</v>
      </c>
      <c r="F530" s="75" t="s">
        <v>313</v>
      </c>
      <c r="G530" s="58" t="s">
        <v>972</v>
      </c>
      <c r="H530" s="74" t="s">
        <v>377</v>
      </c>
    </row>
    <row r="531" spans="1:8" ht="22.5" x14ac:dyDescent="0.6">
      <c r="A531" s="285">
        <v>44105.421527777777</v>
      </c>
      <c r="B531" s="74" t="s">
        <v>973</v>
      </c>
      <c r="C531" s="75"/>
      <c r="D531" s="75">
        <v>492187</v>
      </c>
      <c r="E531" s="74" t="s">
        <v>291</v>
      </c>
      <c r="F531" s="75" t="s">
        <v>313</v>
      </c>
      <c r="G531" s="74" t="s">
        <v>291</v>
      </c>
      <c r="H531" s="74" t="s">
        <v>534</v>
      </c>
    </row>
    <row r="532" spans="1:8" ht="22.5" x14ac:dyDescent="0.6">
      <c r="A532" s="285">
        <v>44107.394444444442</v>
      </c>
      <c r="B532" s="74" t="s">
        <v>974</v>
      </c>
      <c r="C532" s="75">
        <v>4063510</v>
      </c>
      <c r="D532" s="75"/>
      <c r="E532" s="74" t="s">
        <v>274</v>
      </c>
      <c r="F532" s="75" t="s">
        <v>276</v>
      </c>
      <c r="G532" s="74" t="s">
        <v>274</v>
      </c>
      <c r="H532" s="74" t="s">
        <v>975</v>
      </c>
    </row>
    <row r="533" spans="1:8" ht="22.5" x14ac:dyDescent="0.6">
      <c r="A533" s="285">
        <v>44107.645138888889</v>
      </c>
      <c r="B533" s="74" t="s">
        <v>976</v>
      </c>
      <c r="C533" s="75"/>
      <c r="D533" s="75">
        <v>1649082</v>
      </c>
      <c r="E533" s="74" t="s">
        <v>71</v>
      </c>
      <c r="F533" s="75" t="s">
        <v>313</v>
      </c>
      <c r="G533" s="74" t="s">
        <v>71</v>
      </c>
      <c r="H533" s="74" t="s">
        <v>832</v>
      </c>
    </row>
    <row r="534" spans="1:8" ht="22.5" x14ac:dyDescent="0.6">
      <c r="A534" s="288">
        <v>44108.384722222225</v>
      </c>
      <c r="B534" s="74" t="s">
        <v>977</v>
      </c>
      <c r="C534" s="81">
        <v>1474492</v>
      </c>
      <c r="D534" s="81"/>
      <c r="E534" s="80" t="s">
        <v>274</v>
      </c>
      <c r="F534" s="27" t="s">
        <v>283</v>
      </c>
      <c r="G534" s="80" t="s">
        <v>274</v>
      </c>
      <c r="H534" s="82" t="s">
        <v>978</v>
      </c>
    </row>
    <row r="535" spans="1:8" ht="22.5" x14ac:dyDescent="0.6">
      <c r="A535" s="288">
        <v>44108.640972222223</v>
      </c>
      <c r="B535" s="74" t="s">
        <v>979</v>
      </c>
      <c r="C535" s="81">
        <v>1776861</v>
      </c>
      <c r="D535" s="81"/>
      <c r="E535" s="80" t="s">
        <v>274</v>
      </c>
      <c r="F535" s="75" t="s">
        <v>276</v>
      </c>
      <c r="G535" s="80" t="s">
        <v>274</v>
      </c>
      <c r="H535" s="82" t="s">
        <v>350</v>
      </c>
    </row>
    <row r="536" spans="1:8" ht="22.5" x14ac:dyDescent="0.6">
      <c r="A536" s="288">
        <v>44109.563888888886</v>
      </c>
      <c r="B536" s="74" t="s">
        <v>577</v>
      </c>
      <c r="C536" s="81"/>
      <c r="D536" s="81">
        <v>1517431</v>
      </c>
      <c r="E536" s="80" t="s">
        <v>71</v>
      </c>
      <c r="F536" s="75" t="s">
        <v>313</v>
      </c>
      <c r="G536" s="80" t="s">
        <v>71</v>
      </c>
      <c r="H536" s="82" t="s">
        <v>308</v>
      </c>
    </row>
    <row r="537" spans="1:8" ht="22.5" x14ac:dyDescent="0.6">
      <c r="A537" s="288">
        <v>44110.536111111112</v>
      </c>
      <c r="B537" s="74" t="s">
        <v>980</v>
      </c>
      <c r="C537" s="81">
        <v>1934487</v>
      </c>
      <c r="D537" s="81"/>
      <c r="E537" s="80" t="s">
        <v>274</v>
      </c>
      <c r="F537" s="75" t="s">
        <v>276</v>
      </c>
      <c r="G537" s="80" t="s">
        <v>274</v>
      </c>
      <c r="H537" s="82" t="s">
        <v>981</v>
      </c>
    </row>
    <row r="538" spans="1:8" ht="22.5" x14ac:dyDescent="0.6">
      <c r="A538" s="288">
        <v>44111.760416666664</v>
      </c>
      <c r="B538" s="74" t="s">
        <v>982</v>
      </c>
      <c r="C538" s="81">
        <v>4795919</v>
      </c>
      <c r="D538" s="81"/>
      <c r="E538" s="80" t="s">
        <v>274</v>
      </c>
      <c r="F538" s="75" t="s">
        <v>276</v>
      </c>
      <c r="G538" s="80" t="s">
        <v>274</v>
      </c>
      <c r="H538" s="82" t="s">
        <v>983</v>
      </c>
    </row>
    <row r="539" spans="1:8" ht="22.5" x14ac:dyDescent="0.6">
      <c r="A539" s="288">
        <v>44111.761111111111</v>
      </c>
      <c r="B539" s="74" t="s">
        <v>984</v>
      </c>
      <c r="C539" s="81"/>
      <c r="D539" s="81">
        <v>1698295</v>
      </c>
      <c r="E539" s="80" t="s">
        <v>291</v>
      </c>
      <c r="F539" s="33" t="s">
        <v>293</v>
      </c>
      <c r="G539" s="80" t="s">
        <v>291</v>
      </c>
      <c r="H539" s="82" t="s">
        <v>832</v>
      </c>
    </row>
    <row r="540" spans="1:8" ht="22.5" x14ac:dyDescent="0.6">
      <c r="A540" s="288">
        <v>44112.38958333333</v>
      </c>
      <c r="B540" s="74" t="s">
        <v>985</v>
      </c>
      <c r="C540" s="81">
        <v>1652210</v>
      </c>
      <c r="D540" s="81"/>
      <c r="E540" s="80" t="s">
        <v>274</v>
      </c>
      <c r="F540" s="27" t="s">
        <v>283</v>
      </c>
      <c r="G540" s="80" t="s">
        <v>274</v>
      </c>
      <c r="H540" s="82" t="s">
        <v>986</v>
      </c>
    </row>
    <row r="541" spans="1:8" ht="22.5" x14ac:dyDescent="0.6">
      <c r="A541" s="288">
        <v>44112.438194444447</v>
      </c>
      <c r="B541" s="74" t="s">
        <v>987</v>
      </c>
      <c r="C541" s="81"/>
      <c r="D541" s="81">
        <v>305204</v>
      </c>
      <c r="E541" s="80" t="s">
        <v>291</v>
      </c>
      <c r="F541" s="81" t="s">
        <v>313</v>
      </c>
      <c r="G541" s="80" t="s">
        <v>291</v>
      </c>
      <c r="H541" s="82" t="s">
        <v>684</v>
      </c>
    </row>
    <row r="542" spans="1:8" ht="22.5" x14ac:dyDescent="0.6">
      <c r="A542" s="288">
        <v>44112.636111111111</v>
      </c>
      <c r="B542" s="74" t="s">
        <v>988</v>
      </c>
      <c r="C542" s="81"/>
      <c r="D542" s="81">
        <v>193709</v>
      </c>
      <c r="E542" s="80" t="s">
        <v>71</v>
      </c>
      <c r="F542" s="75" t="s">
        <v>313</v>
      </c>
      <c r="G542" s="80" t="s">
        <v>71</v>
      </c>
      <c r="H542" s="82" t="s">
        <v>398</v>
      </c>
    </row>
    <row r="543" spans="1:8" ht="22.5" x14ac:dyDescent="0.6">
      <c r="A543" s="285">
        <v>44113.4</v>
      </c>
      <c r="B543" s="74" t="s">
        <v>568</v>
      </c>
      <c r="C543" s="75">
        <v>4523262</v>
      </c>
      <c r="D543" s="75"/>
      <c r="E543" s="74" t="s">
        <v>274</v>
      </c>
      <c r="F543" s="75" t="s">
        <v>276</v>
      </c>
      <c r="G543" s="74" t="s">
        <v>248</v>
      </c>
      <c r="H543" s="83" t="s">
        <v>735</v>
      </c>
    </row>
    <row r="544" spans="1:8" ht="22.5" x14ac:dyDescent="0.6">
      <c r="A544" s="285">
        <v>44113.455555555556</v>
      </c>
      <c r="B544" s="74" t="s">
        <v>989</v>
      </c>
      <c r="C544" s="75"/>
      <c r="D544" s="75">
        <v>507150</v>
      </c>
      <c r="E544" s="74" t="s">
        <v>59</v>
      </c>
      <c r="F544" s="33" t="s">
        <v>293</v>
      </c>
      <c r="G544" s="74" t="s">
        <v>59</v>
      </c>
      <c r="H544" s="83" t="s">
        <v>377</v>
      </c>
    </row>
    <row r="545" spans="1:8" ht="22.5" x14ac:dyDescent="0.6">
      <c r="A545" s="285">
        <v>44113.530555555553</v>
      </c>
      <c r="B545" s="74" t="s">
        <v>990</v>
      </c>
      <c r="C545" s="75">
        <v>665121</v>
      </c>
      <c r="D545" s="75"/>
      <c r="E545" s="74" t="s">
        <v>274</v>
      </c>
      <c r="F545" s="33" t="s">
        <v>283</v>
      </c>
      <c r="G545" s="74" t="s">
        <v>274</v>
      </c>
      <c r="H545" s="83" t="s">
        <v>672</v>
      </c>
    </row>
    <row r="546" spans="1:8" ht="22.5" x14ac:dyDescent="0.6">
      <c r="A546" s="285">
        <v>44113.589583333334</v>
      </c>
      <c r="B546" s="74" t="s">
        <v>991</v>
      </c>
      <c r="C546" s="75">
        <v>4661530</v>
      </c>
      <c r="D546" s="75"/>
      <c r="E546" s="74" t="s">
        <v>274</v>
      </c>
      <c r="F546" s="75" t="s">
        <v>276</v>
      </c>
      <c r="G546" s="74" t="s">
        <v>274</v>
      </c>
      <c r="H546" s="83" t="s">
        <v>298</v>
      </c>
    </row>
    <row r="547" spans="1:8" ht="22.5" x14ac:dyDescent="0.6">
      <c r="A547" s="285">
        <v>44114.475694444445</v>
      </c>
      <c r="B547" s="74" t="s">
        <v>992</v>
      </c>
      <c r="C547" s="75">
        <v>3327254</v>
      </c>
      <c r="D547" s="75"/>
      <c r="E547" s="74" t="s">
        <v>274</v>
      </c>
      <c r="F547" s="75" t="s">
        <v>276</v>
      </c>
      <c r="G547" s="74" t="s">
        <v>248</v>
      </c>
      <c r="H547" s="82" t="s">
        <v>489</v>
      </c>
    </row>
    <row r="548" spans="1:8" ht="22.5" x14ac:dyDescent="0.6">
      <c r="A548" s="285">
        <v>44115.40625</v>
      </c>
      <c r="B548" s="74" t="s">
        <v>993</v>
      </c>
      <c r="C548" s="75"/>
      <c r="D548" s="75">
        <v>1545881</v>
      </c>
      <c r="E548" s="74" t="s">
        <v>71</v>
      </c>
      <c r="F548" s="75" t="s">
        <v>313</v>
      </c>
      <c r="G548" s="74" t="s">
        <v>430</v>
      </c>
      <c r="H548" s="82" t="s">
        <v>665</v>
      </c>
    </row>
    <row r="549" spans="1:8" ht="22.5" x14ac:dyDescent="0.6">
      <c r="A549" s="285">
        <v>44115.536111111112</v>
      </c>
      <c r="B549" s="74" t="s">
        <v>994</v>
      </c>
      <c r="C549" s="75">
        <v>1397810</v>
      </c>
      <c r="D549" s="75"/>
      <c r="E549" s="74" t="s">
        <v>274</v>
      </c>
      <c r="F549" s="75" t="s">
        <v>276</v>
      </c>
      <c r="G549" s="74" t="s">
        <v>248</v>
      </c>
      <c r="H549" s="82" t="s">
        <v>356</v>
      </c>
    </row>
    <row r="550" spans="1:8" ht="22.5" x14ac:dyDescent="0.6">
      <c r="A550" s="285">
        <v>44116.519444444442</v>
      </c>
      <c r="B550" s="74" t="s">
        <v>995</v>
      </c>
      <c r="C550" s="75">
        <v>2104353</v>
      </c>
      <c r="D550" s="75"/>
      <c r="E550" s="74" t="s">
        <v>274</v>
      </c>
      <c r="F550" s="27" t="s">
        <v>283</v>
      </c>
      <c r="G550" s="74" t="s">
        <v>274</v>
      </c>
      <c r="H550" s="82" t="s">
        <v>519</v>
      </c>
    </row>
    <row r="551" spans="1:8" ht="22.5" x14ac:dyDescent="0.6">
      <c r="A551" s="285">
        <v>44116.73333333333</v>
      </c>
      <c r="B551" s="74" t="s">
        <v>996</v>
      </c>
      <c r="C551" s="75"/>
      <c r="D551" s="75">
        <v>1645614</v>
      </c>
      <c r="E551" s="74" t="s">
        <v>59</v>
      </c>
      <c r="F551" s="75" t="s">
        <v>313</v>
      </c>
      <c r="G551" s="74" t="s">
        <v>442</v>
      </c>
      <c r="H551" s="82" t="s">
        <v>539</v>
      </c>
    </row>
    <row r="552" spans="1:8" ht="22.5" x14ac:dyDescent="0.6">
      <c r="A552" s="285">
        <v>44117.45208333333</v>
      </c>
      <c r="B552" s="74" t="s">
        <v>997</v>
      </c>
      <c r="C552" s="75"/>
      <c r="D552" s="75">
        <v>401575</v>
      </c>
      <c r="E552" s="74" t="s">
        <v>59</v>
      </c>
      <c r="F552" s="75" t="s">
        <v>313</v>
      </c>
      <c r="G552" s="74" t="s">
        <v>442</v>
      </c>
      <c r="H552" s="82" t="s">
        <v>665</v>
      </c>
    </row>
    <row r="553" spans="1:8" ht="22.5" x14ac:dyDescent="0.6">
      <c r="A553" s="285">
        <v>44119.559027777781</v>
      </c>
      <c r="B553" s="74" t="s">
        <v>998</v>
      </c>
      <c r="C553" s="75">
        <v>4561399</v>
      </c>
      <c r="D553" s="75"/>
      <c r="E553" s="74" t="s">
        <v>274</v>
      </c>
      <c r="F553" s="33" t="s">
        <v>283</v>
      </c>
      <c r="G553" s="74" t="s">
        <v>274</v>
      </c>
      <c r="H553" s="82" t="s">
        <v>278</v>
      </c>
    </row>
    <row r="554" spans="1:8" ht="22.5" x14ac:dyDescent="0.6">
      <c r="A554" s="289">
        <v>44119.782638888886</v>
      </c>
      <c r="B554" s="74" t="s">
        <v>999</v>
      </c>
      <c r="C554" s="85"/>
      <c r="D554" s="85">
        <v>1088670</v>
      </c>
      <c r="E554" s="84" t="s">
        <v>312</v>
      </c>
      <c r="F554" s="27" t="s">
        <v>293</v>
      </c>
      <c r="G554" s="84" t="s">
        <v>312</v>
      </c>
      <c r="H554" s="82" t="s">
        <v>684</v>
      </c>
    </row>
    <row r="555" spans="1:8" ht="22.5" x14ac:dyDescent="0.6">
      <c r="A555" s="290">
        <v>44120.6</v>
      </c>
      <c r="B555" s="74" t="s">
        <v>727</v>
      </c>
      <c r="C555" s="87">
        <v>4171117</v>
      </c>
      <c r="D555" s="87"/>
      <c r="E555" s="86" t="s">
        <v>274</v>
      </c>
      <c r="F555" s="75" t="s">
        <v>276</v>
      </c>
      <c r="G555" s="86" t="s">
        <v>274</v>
      </c>
      <c r="H555" s="82" t="s">
        <v>1000</v>
      </c>
    </row>
    <row r="556" spans="1:8" ht="22.5" x14ac:dyDescent="0.6">
      <c r="A556" s="290">
        <v>44121.661111111112</v>
      </c>
      <c r="B556" s="74" t="s">
        <v>1001</v>
      </c>
      <c r="C556" s="87">
        <v>3977864</v>
      </c>
      <c r="D556" s="87"/>
      <c r="E556" s="86" t="s">
        <v>274</v>
      </c>
      <c r="F556" s="33" t="s">
        <v>283</v>
      </c>
      <c r="G556" s="86" t="s">
        <v>274</v>
      </c>
      <c r="H556" s="82" t="s">
        <v>449</v>
      </c>
    </row>
    <row r="557" spans="1:8" ht="22.5" x14ac:dyDescent="0.6">
      <c r="A557" s="291">
        <v>44122.452777777777</v>
      </c>
      <c r="B557" s="74" t="s">
        <v>1002</v>
      </c>
      <c r="C557" s="89">
        <v>3861183</v>
      </c>
      <c r="D557" s="89"/>
      <c r="E557" s="88" t="s">
        <v>274</v>
      </c>
      <c r="F557" s="75" t="s">
        <v>276</v>
      </c>
      <c r="G557" s="88" t="s">
        <v>274</v>
      </c>
      <c r="H557" s="90" t="s">
        <v>352</v>
      </c>
    </row>
    <row r="558" spans="1:8" ht="22.5" x14ac:dyDescent="0.6">
      <c r="A558" s="291">
        <v>44122.759722222225</v>
      </c>
      <c r="B558" s="74" t="s">
        <v>1003</v>
      </c>
      <c r="C558" s="89">
        <v>3211874</v>
      </c>
      <c r="D558" s="89"/>
      <c r="E558" s="88" t="s">
        <v>274</v>
      </c>
      <c r="F558" s="33" t="s">
        <v>283</v>
      </c>
      <c r="G558" s="88" t="s">
        <v>274</v>
      </c>
      <c r="H558" s="88" t="s">
        <v>305</v>
      </c>
    </row>
    <row r="559" spans="1:8" ht="22.5" x14ac:dyDescent="0.6">
      <c r="A559" s="292">
        <v>44123.411111111112</v>
      </c>
      <c r="B559" s="74" t="s">
        <v>783</v>
      </c>
      <c r="C559" s="92"/>
      <c r="D559" s="92">
        <v>1593549</v>
      </c>
      <c r="E559" s="91" t="s">
        <v>342</v>
      </c>
      <c r="F559" s="93" t="s">
        <v>313</v>
      </c>
      <c r="G559" s="94" t="s">
        <v>343</v>
      </c>
      <c r="H559" s="82" t="s">
        <v>295</v>
      </c>
    </row>
    <row r="560" spans="1:8" ht="22.5" x14ac:dyDescent="0.6">
      <c r="A560" s="292">
        <v>44123.51458333333</v>
      </c>
      <c r="B560" s="74" t="s">
        <v>548</v>
      </c>
      <c r="C560" s="92">
        <v>1286689</v>
      </c>
      <c r="D560" s="95"/>
      <c r="E560" s="91" t="s">
        <v>274</v>
      </c>
      <c r="F560" s="93" t="s">
        <v>276</v>
      </c>
      <c r="G560" s="94" t="s">
        <v>248</v>
      </c>
      <c r="H560" s="82" t="s">
        <v>1004</v>
      </c>
    </row>
    <row r="561" spans="1:8" ht="22.5" x14ac:dyDescent="0.6">
      <c r="A561" s="292">
        <v>44124.544444444444</v>
      </c>
      <c r="B561" s="74" t="s">
        <v>1005</v>
      </c>
      <c r="C561" s="92">
        <v>2582055</v>
      </c>
      <c r="D561" s="89"/>
      <c r="E561" s="91" t="s">
        <v>274</v>
      </c>
      <c r="F561" s="75" t="s">
        <v>276</v>
      </c>
      <c r="G561" s="86" t="s">
        <v>274</v>
      </c>
      <c r="H561" s="82" t="s">
        <v>806</v>
      </c>
    </row>
    <row r="562" spans="1:8" ht="22.5" x14ac:dyDescent="0.6">
      <c r="A562" s="292">
        <v>44125.568749999999</v>
      </c>
      <c r="B562" s="74" t="s">
        <v>1006</v>
      </c>
      <c r="C562" s="96">
        <v>4531435</v>
      </c>
      <c r="D562" s="89"/>
      <c r="E562" s="91" t="s">
        <v>274</v>
      </c>
      <c r="F562" s="75" t="s">
        <v>276</v>
      </c>
      <c r="G562" s="86" t="s">
        <v>274</v>
      </c>
      <c r="H562" s="82" t="s">
        <v>1007</v>
      </c>
    </row>
    <row r="563" spans="1:8" ht="22.5" x14ac:dyDescent="0.6">
      <c r="A563" s="292">
        <v>44125.746527777781</v>
      </c>
      <c r="B563" s="74" t="s">
        <v>924</v>
      </c>
      <c r="C563" s="96">
        <v>2985158</v>
      </c>
      <c r="D563" s="89"/>
      <c r="E563" s="91" t="s">
        <v>274</v>
      </c>
      <c r="F563" s="75" t="s">
        <v>276</v>
      </c>
      <c r="G563" s="86" t="s">
        <v>274</v>
      </c>
      <c r="H563" s="82" t="s">
        <v>305</v>
      </c>
    </row>
    <row r="564" spans="1:8" ht="22.5" x14ac:dyDescent="0.6">
      <c r="A564" s="292">
        <v>44126.54583333333</v>
      </c>
      <c r="B564" s="74" t="s">
        <v>1008</v>
      </c>
      <c r="C564" s="96"/>
      <c r="D564" s="89">
        <v>1372089</v>
      </c>
      <c r="E564" s="91" t="s">
        <v>342</v>
      </c>
      <c r="F564" s="75" t="s">
        <v>313</v>
      </c>
      <c r="G564" s="86" t="s">
        <v>342</v>
      </c>
      <c r="H564" s="82" t="s">
        <v>1009</v>
      </c>
    </row>
    <row r="565" spans="1:8" ht="22.5" x14ac:dyDescent="0.6">
      <c r="A565" s="292">
        <v>44126.665972222225</v>
      </c>
      <c r="B565" s="74" t="s">
        <v>1010</v>
      </c>
      <c r="C565" s="96">
        <v>4886325</v>
      </c>
      <c r="D565" s="89"/>
      <c r="E565" s="91" t="s">
        <v>274</v>
      </c>
      <c r="F565" s="75" t="s">
        <v>276</v>
      </c>
      <c r="G565" s="86" t="s">
        <v>274</v>
      </c>
      <c r="H565" s="82" t="s">
        <v>356</v>
      </c>
    </row>
    <row r="566" spans="1:8" ht="22.5" x14ac:dyDescent="0.6">
      <c r="A566" s="292">
        <v>44127.660416666666</v>
      </c>
      <c r="B566" s="74" t="s">
        <v>1011</v>
      </c>
      <c r="C566" s="96"/>
      <c r="D566" s="89">
        <v>333025</v>
      </c>
      <c r="E566" s="91" t="s">
        <v>291</v>
      </c>
      <c r="F566" s="75" t="s">
        <v>313</v>
      </c>
      <c r="G566" s="86" t="s">
        <v>291</v>
      </c>
      <c r="H566" s="82" t="s">
        <v>374</v>
      </c>
    </row>
    <row r="567" spans="1:8" ht="22.5" x14ac:dyDescent="0.6">
      <c r="A567" s="292">
        <v>44127.788194444445</v>
      </c>
      <c r="B567" s="74" t="s">
        <v>1012</v>
      </c>
      <c r="C567" s="96">
        <v>4475590</v>
      </c>
      <c r="D567" s="95"/>
      <c r="E567" s="91" t="s">
        <v>274</v>
      </c>
      <c r="F567" s="97" t="s">
        <v>276</v>
      </c>
      <c r="G567" s="86" t="s">
        <v>248</v>
      </c>
      <c r="H567" s="82" t="s">
        <v>370</v>
      </c>
    </row>
    <row r="568" spans="1:8" ht="22.5" x14ac:dyDescent="0.6">
      <c r="A568" s="293">
        <v>44128.730555555558</v>
      </c>
      <c r="B568" s="74" t="s">
        <v>556</v>
      </c>
      <c r="C568" s="99">
        <v>3339554</v>
      </c>
      <c r="D568" s="99"/>
      <c r="E568" s="98" t="s">
        <v>274</v>
      </c>
      <c r="F568" s="33" t="s">
        <v>283</v>
      </c>
      <c r="G568" s="100" t="s">
        <v>274</v>
      </c>
      <c r="H568" s="31" t="s">
        <v>301</v>
      </c>
    </row>
    <row r="569" spans="1:8" ht="22.5" x14ac:dyDescent="0.6">
      <c r="A569" s="293">
        <v>44129.395138888889</v>
      </c>
      <c r="B569" s="74" t="s">
        <v>1013</v>
      </c>
      <c r="C569" s="99">
        <v>755680</v>
      </c>
      <c r="D569" s="99"/>
      <c r="E569" s="98" t="s">
        <v>274</v>
      </c>
      <c r="F569" s="33" t="s">
        <v>283</v>
      </c>
      <c r="G569" s="100" t="s">
        <v>274</v>
      </c>
      <c r="H569" s="31" t="s">
        <v>281</v>
      </c>
    </row>
    <row r="570" spans="1:8" ht="22.5" x14ac:dyDescent="0.6">
      <c r="A570" s="293">
        <v>44129.788888888892</v>
      </c>
      <c r="B570" s="74" t="s">
        <v>1014</v>
      </c>
      <c r="C570" s="99"/>
      <c r="D570" s="99">
        <v>1929869</v>
      </c>
      <c r="E570" s="98" t="s">
        <v>312</v>
      </c>
      <c r="F570" s="33" t="s">
        <v>293</v>
      </c>
      <c r="G570" s="100" t="s">
        <v>312</v>
      </c>
      <c r="H570" s="31" t="s">
        <v>1015</v>
      </c>
    </row>
    <row r="571" spans="1:8" ht="22.5" x14ac:dyDescent="0.6">
      <c r="A571" s="293">
        <v>44130.572916666664</v>
      </c>
      <c r="B571" s="74" t="s">
        <v>1016</v>
      </c>
      <c r="C571" s="99">
        <v>1085927</v>
      </c>
      <c r="D571" s="99"/>
      <c r="E571" s="98" t="s">
        <v>274</v>
      </c>
      <c r="F571" s="33" t="s">
        <v>283</v>
      </c>
      <c r="G571" s="100" t="s">
        <v>274</v>
      </c>
      <c r="H571" s="31" t="s">
        <v>1017</v>
      </c>
    </row>
    <row r="572" spans="1:8" ht="22.5" x14ac:dyDescent="0.6">
      <c r="A572" s="285">
        <v>44130.57708333333</v>
      </c>
      <c r="B572" s="74" t="s">
        <v>1018</v>
      </c>
      <c r="C572" s="75">
        <v>1876329</v>
      </c>
      <c r="D572" s="75"/>
      <c r="E572" s="74" t="s">
        <v>274</v>
      </c>
      <c r="F572" s="97" t="s">
        <v>276</v>
      </c>
      <c r="G572" s="74" t="s">
        <v>248</v>
      </c>
      <c r="H572" s="82" t="s">
        <v>769</v>
      </c>
    </row>
    <row r="573" spans="1:8" ht="22.5" x14ac:dyDescent="0.6">
      <c r="A573" s="285">
        <v>44130.75</v>
      </c>
      <c r="B573" s="74" t="s">
        <v>838</v>
      </c>
      <c r="C573" s="75">
        <v>2995013</v>
      </c>
      <c r="D573" s="75"/>
      <c r="E573" s="74" t="s">
        <v>274</v>
      </c>
      <c r="F573" s="97" t="s">
        <v>275</v>
      </c>
      <c r="G573" s="74" t="s">
        <v>274</v>
      </c>
      <c r="H573" s="82" t="s">
        <v>525</v>
      </c>
    </row>
    <row r="574" spans="1:8" ht="22.5" x14ac:dyDescent="0.55000000000000004">
      <c r="A574" s="294">
        <v>44130.788888888892</v>
      </c>
      <c r="B574" s="74" t="s">
        <v>1019</v>
      </c>
      <c r="C574" s="102"/>
      <c r="D574" s="102">
        <v>1694624</v>
      </c>
      <c r="E574" s="103" t="s">
        <v>59</v>
      </c>
      <c r="F574" s="103" t="s">
        <v>292</v>
      </c>
      <c r="G574" s="104" t="s">
        <v>59</v>
      </c>
      <c r="H574" s="104" t="s">
        <v>469</v>
      </c>
    </row>
    <row r="575" spans="1:8" ht="22.5" x14ac:dyDescent="0.6">
      <c r="A575" s="285">
        <v>44131.425694444442</v>
      </c>
      <c r="B575" s="74" t="s">
        <v>1020</v>
      </c>
      <c r="C575" s="75">
        <v>2701471</v>
      </c>
      <c r="D575" s="75"/>
      <c r="E575" s="74" t="s">
        <v>274</v>
      </c>
      <c r="F575" s="97" t="s">
        <v>276</v>
      </c>
      <c r="G575" s="74" t="s">
        <v>248</v>
      </c>
      <c r="H575" s="82" t="s">
        <v>497</v>
      </c>
    </row>
    <row r="576" spans="1:8" ht="22.5" x14ac:dyDescent="0.6">
      <c r="A576" s="285">
        <v>44131.604861111111</v>
      </c>
      <c r="B576" s="74" t="s">
        <v>1021</v>
      </c>
      <c r="C576" s="75"/>
      <c r="D576" s="75">
        <v>456675</v>
      </c>
      <c r="E576" s="74" t="s">
        <v>312</v>
      </c>
      <c r="F576" s="97" t="s">
        <v>292</v>
      </c>
      <c r="G576" s="74" t="s">
        <v>312</v>
      </c>
      <c r="H576" s="82" t="s">
        <v>832</v>
      </c>
    </row>
    <row r="577" spans="1:8" ht="22.5" x14ac:dyDescent="0.55000000000000004">
      <c r="A577" s="294">
        <v>44131.640972222223</v>
      </c>
      <c r="B577" s="74" t="s">
        <v>1022</v>
      </c>
      <c r="C577" s="102"/>
      <c r="D577" s="102">
        <v>1926991</v>
      </c>
      <c r="E577" s="105" t="s">
        <v>342</v>
      </c>
      <c r="F577" s="102" t="s">
        <v>292</v>
      </c>
      <c r="G577" s="101" t="s">
        <v>342</v>
      </c>
      <c r="H577" s="104" t="s">
        <v>322</v>
      </c>
    </row>
    <row r="578" spans="1:8" ht="22.5" x14ac:dyDescent="0.6">
      <c r="A578" s="285">
        <v>44131.702777777777</v>
      </c>
      <c r="B578" s="74" t="s">
        <v>1023</v>
      </c>
      <c r="C578" s="75"/>
      <c r="D578" s="75">
        <v>1350481</v>
      </c>
      <c r="E578" s="74" t="s">
        <v>71</v>
      </c>
      <c r="F578" s="97" t="s">
        <v>313</v>
      </c>
      <c r="G578" s="74" t="s">
        <v>71</v>
      </c>
      <c r="H578" s="82" t="s">
        <v>791</v>
      </c>
    </row>
    <row r="579" spans="1:8" ht="22.5" x14ac:dyDescent="0.6">
      <c r="A579" s="285">
        <v>44132.576388888891</v>
      </c>
      <c r="B579" s="74" t="s">
        <v>532</v>
      </c>
      <c r="C579" s="75"/>
      <c r="D579" s="75">
        <v>253396</v>
      </c>
      <c r="E579" s="74" t="s">
        <v>59</v>
      </c>
      <c r="F579" s="97" t="s">
        <v>313</v>
      </c>
      <c r="G579" s="74" t="s">
        <v>59</v>
      </c>
      <c r="H579" s="82" t="s">
        <v>481</v>
      </c>
    </row>
    <row r="580" spans="1:8" ht="22.5" x14ac:dyDescent="0.6">
      <c r="A580" s="285">
        <v>44132.745833333334</v>
      </c>
      <c r="B580" s="74" t="s">
        <v>1024</v>
      </c>
      <c r="C580" s="75">
        <v>4014650</v>
      </c>
      <c r="D580" s="75"/>
      <c r="E580" s="74" t="s">
        <v>274</v>
      </c>
      <c r="F580" s="97" t="s">
        <v>276</v>
      </c>
      <c r="G580" s="74" t="s">
        <v>274</v>
      </c>
      <c r="H580" s="82" t="s">
        <v>497</v>
      </c>
    </row>
    <row r="581" spans="1:8" ht="22.5" x14ac:dyDescent="0.6">
      <c r="A581" s="285">
        <v>44136.40625</v>
      </c>
      <c r="B581" s="74" t="s">
        <v>697</v>
      </c>
      <c r="C581" s="75">
        <v>557339</v>
      </c>
      <c r="D581" s="75"/>
      <c r="E581" s="74" t="s">
        <v>274</v>
      </c>
      <c r="F581" s="97" t="s">
        <v>276</v>
      </c>
      <c r="G581" s="74" t="s">
        <v>274</v>
      </c>
      <c r="H581" s="82" t="s">
        <v>449</v>
      </c>
    </row>
    <row r="582" spans="1:8" ht="22.5" x14ac:dyDescent="0.6">
      <c r="A582" s="285">
        <v>44136.537499999999</v>
      </c>
      <c r="B582" s="74" t="s">
        <v>1025</v>
      </c>
      <c r="C582" s="75">
        <v>2831404</v>
      </c>
      <c r="D582" s="75"/>
      <c r="E582" s="74" t="s">
        <v>274</v>
      </c>
      <c r="F582" s="97" t="s">
        <v>276</v>
      </c>
      <c r="G582" s="74" t="s">
        <v>274</v>
      </c>
      <c r="H582" s="82" t="s">
        <v>472</v>
      </c>
    </row>
    <row r="583" spans="1:8" ht="22.5" x14ac:dyDescent="0.6">
      <c r="A583" s="285">
        <v>44137.664583333331</v>
      </c>
      <c r="B583" s="74" t="s">
        <v>818</v>
      </c>
      <c r="C583" s="75"/>
      <c r="D583" s="75">
        <v>1837875</v>
      </c>
      <c r="E583" s="74" t="s">
        <v>291</v>
      </c>
      <c r="F583" s="97" t="s">
        <v>313</v>
      </c>
      <c r="G583" s="74" t="s">
        <v>291</v>
      </c>
      <c r="H583" s="82" t="s">
        <v>857</v>
      </c>
    </row>
    <row r="584" spans="1:8" ht="22.5" x14ac:dyDescent="0.6">
      <c r="A584" s="285">
        <v>44138.694444444445</v>
      </c>
      <c r="B584" s="74" t="s">
        <v>478</v>
      </c>
      <c r="C584" s="75"/>
      <c r="D584" s="75">
        <v>1698610</v>
      </c>
      <c r="E584" s="74" t="s">
        <v>59</v>
      </c>
      <c r="F584" s="97" t="s">
        <v>313</v>
      </c>
      <c r="G584" s="74" t="s">
        <v>59</v>
      </c>
      <c r="H584" s="82" t="s">
        <v>364</v>
      </c>
    </row>
    <row r="585" spans="1:8" ht="22.5" x14ac:dyDescent="0.6">
      <c r="A585" s="285">
        <v>44139.405555555553</v>
      </c>
      <c r="B585" s="74" t="s">
        <v>1026</v>
      </c>
      <c r="C585" s="75">
        <v>1521853</v>
      </c>
      <c r="D585" s="75"/>
      <c r="E585" s="74" t="s">
        <v>274</v>
      </c>
      <c r="F585" s="97" t="s">
        <v>276</v>
      </c>
      <c r="G585" s="74" t="s">
        <v>274</v>
      </c>
      <c r="H585" s="82" t="s">
        <v>286</v>
      </c>
    </row>
    <row r="586" spans="1:8" ht="22.5" x14ac:dyDescent="0.6">
      <c r="A586" s="285">
        <v>44139.460416666669</v>
      </c>
      <c r="B586" s="74" t="s">
        <v>1027</v>
      </c>
      <c r="C586" s="75">
        <v>3450313</v>
      </c>
      <c r="D586" s="75"/>
      <c r="E586" s="74" t="s">
        <v>274</v>
      </c>
      <c r="F586" s="97" t="s">
        <v>276</v>
      </c>
      <c r="G586" s="74" t="s">
        <v>274</v>
      </c>
      <c r="H586" s="82" t="s">
        <v>1028</v>
      </c>
    </row>
    <row r="587" spans="1:8" ht="22.5" x14ac:dyDescent="0.55000000000000004">
      <c r="A587" s="294">
        <v>44139.502083333333</v>
      </c>
      <c r="B587" s="74" t="s">
        <v>1029</v>
      </c>
      <c r="C587" s="102">
        <v>3568393</v>
      </c>
      <c r="D587" s="102"/>
      <c r="E587" s="105" t="s">
        <v>274</v>
      </c>
      <c r="F587" s="102" t="s">
        <v>276</v>
      </c>
      <c r="G587" s="101" t="s">
        <v>274</v>
      </c>
      <c r="H587" s="104" t="s">
        <v>801</v>
      </c>
    </row>
    <row r="588" spans="1:8" ht="22.5" x14ac:dyDescent="0.6">
      <c r="A588" s="285">
        <v>44139.556944444441</v>
      </c>
      <c r="B588" s="74" t="s">
        <v>411</v>
      </c>
      <c r="C588" s="75"/>
      <c r="D588" s="75">
        <v>1968921</v>
      </c>
      <c r="E588" s="74" t="s">
        <v>312</v>
      </c>
      <c r="F588" s="75" t="s">
        <v>313</v>
      </c>
      <c r="G588" s="74" t="s">
        <v>312</v>
      </c>
      <c r="H588" s="82" t="s">
        <v>1030</v>
      </c>
    </row>
    <row r="589" spans="1:8" ht="22.5" x14ac:dyDescent="0.6">
      <c r="A589" s="285">
        <v>44139.698611111111</v>
      </c>
      <c r="B589" s="74" t="s">
        <v>1031</v>
      </c>
      <c r="C589" s="75">
        <v>2442258</v>
      </c>
      <c r="D589" s="75"/>
      <c r="E589" s="74" t="s">
        <v>274</v>
      </c>
      <c r="F589" s="75" t="s">
        <v>276</v>
      </c>
      <c r="G589" s="74" t="s">
        <v>274</v>
      </c>
      <c r="H589" s="82" t="s">
        <v>1000</v>
      </c>
    </row>
    <row r="590" spans="1:8" ht="22.5" x14ac:dyDescent="0.55000000000000004">
      <c r="A590" s="294">
        <v>44140.529166666667</v>
      </c>
      <c r="B590" s="74" t="s">
        <v>1032</v>
      </c>
      <c r="C590" s="102">
        <v>2313755</v>
      </c>
      <c r="D590" s="102"/>
      <c r="E590" s="103" t="s">
        <v>274</v>
      </c>
      <c r="F590" s="106" t="s">
        <v>276</v>
      </c>
      <c r="G590" s="106" t="s">
        <v>248</v>
      </c>
      <c r="H590" s="104" t="s">
        <v>622</v>
      </c>
    </row>
    <row r="591" spans="1:8" ht="22.5" x14ac:dyDescent="0.6">
      <c r="A591" s="273">
        <v>44140.7</v>
      </c>
      <c r="B591" s="74" t="s">
        <v>1033</v>
      </c>
      <c r="C591" s="107">
        <v>2825015</v>
      </c>
      <c r="D591" s="107"/>
      <c r="E591" s="27" t="s">
        <v>274</v>
      </c>
      <c r="F591" s="33" t="s">
        <v>283</v>
      </c>
      <c r="G591" s="27" t="s">
        <v>274</v>
      </c>
      <c r="H591" s="31" t="s">
        <v>863</v>
      </c>
    </row>
    <row r="592" spans="1:8" ht="22.5" x14ac:dyDescent="0.6">
      <c r="A592" s="273">
        <v>44141.757638888892</v>
      </c>
      <c r="B592" s="74" t="s">
        <v>1034</v>
      </c>
      <c r="C592" s="107"/>
      <c r="D592" s="107">
        <v>630171</v>
      </c>
      <c r="E592" s="27" t="s">
        <v>312</v>
      </c>
      <c r="F592" s="33" t="s">
        <v>293</v>
      </c>
      <c r="G592" s="27" t="s">
        <v>312</v>
      </c>
      <c r="H592" s="31" t="s">
        <v>857</v>
      </c>
    </row>
    <row r="593" spans="1:8" ht="22.5" x14ac:dyDescent="0.6">
      <c r="A593" s="285">
        <v>44142.499305555553</v>
      </c>
      <c r="B593" s="74" t="s">
        <v>1035</v>
      </c>
      <c r="C593" s="75"/>
      <c r="D593" s="75">
        <v>416522</v>
      </c>
      <c r="E593" s="74" t="s">
        <v>71</v>
      </c>
      <c r="F593" s="75" t="s">
        <v>313</v>
      </c>
      <c r="G593" s="74" t="s">
        <v>71</v>
      </c>
      <c r="H593" s="82" t="s">
        <v>857</v>
      </c>
    </row>
    <row r="594" spans="1:8" ht="22.5" x14ac:dyDescent="0.6">
      <c r="A594" s="285">
        <v>44142.525000000001</v>
      </c>
      <c r="B594" s="74" t="s">
        <v>852</v>
      </c>
      <c r="C594" s="75"/>
      <c r="D594" s="75">
        <v>1343022</v>
      </c>
      <c r="E594" s="74" t="s">
        <v>59</v>
      </c>
      <c r="F594" s="97" t="s">
        <v>313</v>
      </c>
      <c r="G594" s="74" t="s">
        <v>442</v>
      </c>
      <c r="H594" s="82" t="s">
        <v>1036</v>
      </c>
    </row>
    <row r="595" spans="1:8" ht="22.5" x14ac:dyDescent="0.6">
      <c r="A595" s="285">
        <v>44142.557638888888</v>
      </c>
      <c r="B595" s="74" t="s">
        <v>1037</v>
      </c>
      <c r="C595" s="75">
        <v>3865687</v>
      </c>
      <c r="D595" s="75"/>
      <c r="E595" s="74" t="s">
        <v>274</v>
      </c>
      <c r="F595" s="75" t="s">
        <v>276</v>
      </c>
      <c r="G595" s="74" t="s">
        <v>248</v>
      </c>
      <c r="H595" s="74" t="s">
        <v>432</v>
      </c>
    </row>
    <row r="596" spans="1:8" ht="22.5" x14ac:dyDescent="0.6">
      <c r="A596" s="285">
        <v>44143.497916666667</v>
      </c>
      <c r="B596" s="74" t="s">
        <v>1038</v>
      </c>
      <c r="C596" s="75"/>
      <c r="D596" s="75">
        <v>1674120</v>
      </c>
      <c r="E596" s="74" t="s">
        <v>291</v>
      </c>
      <c r="F596" s="75" t="s">
        <v>313</v>
      </c>
      <c r="G596" s="74" t="s">
        <v>362</v>
      </c>
      <c r="H596" s="74" t="s">
        <v>491</v>
      </c>
    </row>
    <row r="597" spans="1:8" ht="22.5" x14ac:dyDescent="0.6">
      <c r="A597" s="285">
        <v>44143.586805555555</v>
      </c>
      <c r="B597" s="74" t="s">
        <v>1039</v>
      </c>
      <c r="C597" s="75"/>
      <c r="D597" s="75">
        <v>250579</v>
      </c>
      <c r="E597" s="74" t="s">
        <v>312</v>
      </c>
      <c r="F597" s="75" t="s">
        <v>313</v>
      </c>
      <c r="G597" s="74" t="s">
        <v>376</v>
      </c>
      <c r="H597" s="74" t="s">
        <v>523</v>
      </c>
    </row>
    <row r="598" spans="1:8" ht="22.5" x14ac:dyDescent="0.6">
      <c r="A598" s="285">
        <v>44143.604861111111</v>
      </c>
      <c r="B598" s="74" t="s">
        <v>1040</v>
      </c>
      <c r="C598" s="75"/>
      <c r="D598" s="75">
        <v>1293477</v>
      </c>
      <c r="E598" s="74" t="s">
        <v>291</v>
      </c>
      <c r="F598" s="75" t="s">
        <v>313</v>
      </c>
      <c r="G598" s="74" t="s">
        <v>362</v>
      </c>
      <c r="H598" s="74" t="s">
        <v>752</v>
      </c>
    </row>
    <row r="599" spans="1:8" ht="22.5" x14ac:dyDescent="0.6">
      <c r="A599" s="285">
        <v>44144.45208333333</v>
      </c>
      <c r="B599" s="74" t="s">
        <v>1041</v>
      </c>
      <c r="C599" s="75">
        <v>2019192</v>
      </c>
      <c r="D599" s="75"/>
      <c r="E599" s="74" t="s">
        <v>274</v>
      </c>
      <c r="F599" s="75" t="s">
        <v>276</v>
      </c>
      <c r="G599" s="74" t="s">
        <v>248</v>
      </c>
      <c r="H599" s="74" t="s">
        <v>634</v>
      </c>
    </row>
    <row r="600" spans="1:8" ht="22.5" x14ac:dyDescent="0.55000000000000004">
      <c r="A600" s="294">
        <v>44144.475694444445</v>
      </c>
      <c r="B600" s="74" t="s">
        <v>1042</v>
      </c>
      <c r="C600" s="102">
        <v>2616045</v>
      </c>
      <c r="D600" s="102"/>
      <c r="E600" s="103" t="s">
        <v>274</v>
      </c>
      <c r="F600" s="103" t="s">
        <v>276</v>
      </c>
      <c r="G600" s="104" t="s">
        <v>248</v>
      </c>
      <c r="H600" s="104" t="s">
        <v>699</v>
      </c>
    </row>
    <row r="601" spans="1:8" ht="22.5" x14ac:dyDescent="0.6">
      <c r="A601" s="273">
        <v>44145.640277777777</v>
      </c>
      <c r="B601" s="74" t="s">
        <v>1043</v>
      </c>
      <c r="C601" s="107"/>
      <c r="D601" s="107">
        <v>1153990</v>
      </c>
      <c r="E601" s="27" t="s">
        <v>342</v>
      </c>
      <c r="F601" s="33" t="s">
        <v>293</v>
      </c>
      <c r="G601" s="27" t="s">
        <v>342</v>
      </c>
      <c r="H601" s="27" t="s">
        <v>1044</v>
      </c>
    </row>
    <row r="602" spans="1:8" ht="22.5" x14ac:dyDescent="0.6">
      <c r="A602" s="285">
        <v>44145.723611111112</v>
      </c>
      <c r="B602" s="74" t="s">
        <v>1045</v>
      </c>
      <c r="C602" s="75"/>
      <c r="D602" s="75">
        <v>481822</v>
      </c>
      <c r="E602" s="74" t="s">
        <v>71</v>
      </c>
      <c r="F602" s="75" t="s">
        <v>313</v>
      </c>
      <c r="G602" s="74" t="s">
        <v>71</v>
      </c>
      <c r="H602" s="74" t="s">
        <v>345</v>
      </c>
    </row>
    <row r="603" spans="1:8" ht="22.5" x14ac:dyDescent="0.6">
      <c r="A603" s="285">
        <v>44145.768750000003</v>
      </c>
      <c r="B603" s="74" t="s">
        <v>1046</v>
      </c>
      <c r="C603" s="75">
        <v>1704972</v>
      </c>
      <c r="D603" s="75"/>
      <c r="E603" s="74" t="s">
        <v>274</v>
      </c>
      <c r="F603" s="75" t="s">
        <v>276</v>
      </c>
      <c r="G603" s="74" t="s">
        <v>274</v>
      </c>
      <c r="H603" s="74" t="s">
        <v>511</v>
      </c>
    </row>
    <row r="604" spans="1:8" ht="22.5" x14ac:dyDescent="0.6">
      <c r="A604" s="273">
        <v>44146.51666666667</v>
      </c>
      <c r="B604" s="74" t="s">
        <v>571</v>
      </c>
      <c r="C604" s="107">
        <v>2533841</v>
      </c>
      <c r="D604" s="107"/>
      <c r="E604" s="27" t="s">
        <v>274</v>
      </c>
      <c r="F604" s="33" t="s">
        <v>283</v>
      </c>
      <c r="G604" s="27" t="s">
        <v>274</v>
      </c>
      <c r="H604" s="27" t="s">
        <v>1007</v>
      </c>
    </row>
    <row r="605" spans="1:8" ht="22.5" x14ac:dyDescent="0.6">
      <c r="A605" s="285">
        <v>44147.408333333333</v>
      </c>
      <c r="B605" s="74" t="s">
        <v>1047</v>
      </c>
      <c r="C605" s="75">
        <v>3689130</v>
      </c>
      <c r="D605" s="75"/>
      <c r="E605" s="74" t="s">
        <v>274</v>
      </c>
      <c r="F605" s="27" t="s">
        <v>283</v>
      </c>
      <c r="G605" s="74" t="s">
        <v>274</v>
      </c>
      <c r="H605" s="74" t="s">
        <v>503</v>
      </c>
    </row>
    <row r="606" spans="1:8" ht="22.5" x14ac:dyDescent="0.6">
      <c r="A606" s="295">
        <v>44147.46597222222</v>
      </c>
      <c r="B606" s="74" t="s">
        <v>1048</v>
      </c>
      <c r="C606" s="109">
        <v>2462304</v>
      </c>
      <c r="D606" s="109"/>
      <c r="E606" s="108" t="s">
        <v>274</v>
      </c>
      <c r="F606" s="33" t="s">
        <v>283</v>
      </c>
      <c r="G606" s="29" t="s">
        <v>274</v>
      </c>
      <c r="H606" s="29" t="s">
        <v>458</v>
      </c>
    </row>
    <row r="607" spans="1:8" ht="22.5" x14ac:dyDescent="0.6">
      <c r="A607" s="295">
        <v>44147.589583333334</v>
      </c>
      <c r="B607" s="74" t="s">
        <v>816</v>
      </c>
      <c r="C607" s="109"/>
      <c r="D607" s="109">
        <v>1022678</v>
      </c>
      <c r="E607" s="108" t="s">
        <v>291</v>
      </c>
      <c r="F607" s="109" t="s">
        <v>292</v>
      </c>
      <c r="G607" s="29" t="s">
        <v>291</v>
      </c>
      <c r="H607" s="29" t="s">
        <v>725</v>
      </c>
    </row>
    <row r="608" spans="1:8" ht="22.5" x14ac:dyDescent="0.6">
      <c r="A608" s="295">
        <v>44148.40347222222</v>
      </c>
      <c r="B608" s="74" t="s">
        <v>1049</v>
      </c>
      <c r="C608" s="109">
        <v>1542264</v>
      </c>
      <c r="D608" s="109"/>
      <c r="E608" s="108" t="s">
        <v>274</v>
      </c>
      <c r="F608" s="109" t="s">
        <v>275</v>
      </c>
      <c r="G608" s="108" t="s">
        <v>274</v>
      </c>
      <c r="H608" s="29" t="s">
        <v>917</v>
      </c>
    </row>
    <row r="609" spans="1:8" ht="22.5" x14ac:dyDescent="0.6">
      <c r="A609" s="295">
        <v>44148.613888888889</v>
      </c>
      <c r="B609" s="74" t="s">
        <v>1050</v>
      </c>
      <c r="C609" s="109"/>
      <c r="D609" s="109">
        <v>1735267</v>
      </c>
      <c r="E609" s="108" t="s">
        <v>342</v>
      </c>
      <c r="F609" s="27" t="s">
        <v>293</v>
      </c>
      <c r="G609" s="108" t="s">
        <v>342</v>
      </c>
      <c r="H609" s="29" t="s">
        <v>322</v>
      </c>
    </row>
    <row r="610" spans="1:8" ht="22.5" x14ac:dyDescent="0.6">
      <c r="A610" s="295">
        <v>44148.629166666666</v>
      </c>
      <c r="B610" s="74" t="s">
        <v>1051</v>
      </c>
      <c r="C610" s="109"/>
      <c r="D610" s="109">
        <v>120301</v>
      </c>
      <c r="E610" s="108" t="s">
        <v>59</v>
      </c>
      <c r="F610" s="27" t="s">
        <v>293</v>
      </c>
      <c r="G610" s="108" t="s">
        <v>59</v>
      </c>
      <c r="H610" s="29" t="s">
        <v>477</v>
      </c>
    </row>
    <row r="611" spans="1:8" ht="22.5" x14ac:dyDescent="0.6">
      <c r="A611" s="295">
        <v>44149.376388888886</v>
      </c>
      <c r="B611" s="74" t="s">
        <v>1052</v>
      </c>
      <c r="C611" s="109"/>
      <c r="D611" s="109">
        <v>674303</v>
      </c>
      <c r="E611" s="108" t="s">
        <v>312</v>
      </c>
      <c r="F611" s="27" t="s">
        <v>293</v>
      </c>
      <c r="G611" s="108" t="s">
        <v>312</v>
      </c>
      <c r="H611" s="29" t="s">
        <v>533</v>
      </c>
    </row>
    <row r="612" spans="1:8" ht="22.5" x14ac:dyDescent="0.6">
      <c r="A612" s="295">
        <v>44149.442361111112</v>
      </c>
      <c r="B612" s="74" t="s">
        <v>1053</v>
      </c>
      <c r="C612" s="109"/>
      <c r="D612" s="109">
        <v>1504744</v>
      </c>
      <c r="E612" s="108" t="s">
        <v>342</v>
      </c>
      <c r="F612" s="27" t="s">
        <v>293</v>
      </c>
      <c r="G612" s="108" t="s">
        <v>342</v>
      </c>
      <c r="H612" s="29" t="s">
        <v>337</v>
      </c>
    </row>
    <row r="613" spans="1:8" ht="22.5" x14ac:dyDescent="0.6">
      <c r="A613" s="295">
        <v>44149.543055555558</v>
      </c>
      <c r="B613" s="74" t="s">
        <v>1054</v>
      </c>
      <c r="C613" s="109"/>
      <c r="D613" s="109">
        <v>1477537</v>
      </c>
      <c r="E613" s="108" t="s">
        <v>312</v>
      </c>
      <c r="F613" s="27" t="s">
        <v>293</v>
      </c>
      <c r="G613" s="108" t="s">
        <v>312</v>
      </c>
      <c r="H613" s="29" t="s">
        <v>314</v>
      </c>
    </row>
    <row r="614" spans="1:8" ht="22.5" x14ac:dyDescent="0.6">
      <c r="A614" s="295">
        <v>44149.697916666664</v>
      </c>
      <c r="B614" s="74" t="s">
        <v>1055</v>
      </c>
      <c r="C614" s="109">
        <v>4105386</v>
      </c>
      <c r="D614" s="109"/>
      <c r="E614" s="108" t="s">
        <v>274</v>
      </c>
      <c r="F614" s="27" t="s">
        <v>283</v>
      </c>
      <c r="G614" s="108" t="s">
        <v>274</v>
      </c>
      <c r="H614" s="29" t="s">
        <v>525</v>
      </c>
    </row>
    <row r="615" spans="1:8" ht="22.5" x14ac:dyDescent="0.6">
      <c r="A615" s="295">
        <v>44150.616666666669</v>
      </c>
      <c r="B615" s="74" t="s">
        <v>514</v>
      </c>
      <c r="C615" s="109">
        <v>1761458</v>
      </c>
      <c r="D615" s="109"/>
      <c r="E615" s="108" t="s">
        <v>274</v>
      </c>
      <c r="F615" s="27" t="s">
        <v>283</v>
      </c>
      <c r="G615" s="108" t="s">
        <v>274</v>
      </c>
      <c r="H615" s="29" t="s">
        <v>561</v>
      </c>
    </row>
    <row r="616" spans="1:8" ht="22.5" x14ac:dyDescent="0.6">
      <c r="A616" s="296">
        <v>44151.488194444442</v>
      </c>
      <c r="B616" s="74" t="s">
        <v>1056</v>
      </c>
      <c r="C616" s="111"/>
      <c r="D616" s="111">
        <v>1553445</v>
      </c>
      <c r="E616" s="110" t="s">
        <v>312</v>
      </c>
      <c r="F616" s="27" t="s">
        <v>293</v>
      </c>
      <c r="G616" s="112" t="s">
        <v>312</v>
      </c>
      <c r="H616" s="112" t="s">
        <v>461</v>
      </c>
    </row>
    <row r="617" spans="1:8" ht="22.5" x14ac:dyDescent="0.6">
      <c r="A617" s="152">
        <v>44152.604861111111</v>
      </c>
      <c r="B617" s="74" t="s">
        <v>1057</v>
      </c>
      <c r="C617" s="114">
        <v>2739762</v>
      </c>
      <c r="D617" s="114"/>
      <c r="E617" s="113" t="s">
        <v>274</v>
      </c>
      <c r="F617" s="27" t="s">
        <v>283</v>
      </c>
      <c r="G617" s="54" t="s">
        <v>274</v>
      </c>
      <c r="H617" s="54" t="s">
        <v>288</v>
      </c>
    </row>
    <row r="618" spans="1:8" ht="22.5" x14ac:dyDescent="0.6">
      <c r="A618" s="152">
        <v>44153.415972222225</v>
      </c>
      <c r="B618" s="74" t="s">
        <v>592</v>
      </c>
      <c r="C618" s="114"/>
      <c r="D618" s="114">
        <v>550300</v>
      </c>
      <c r="E618" s="113" t="s">
        <v>342</v>
      </c>
      <c r="F618" s="27" t="s">
        <v>293</v>
      </c>
      <c r="G618" s="54" t="s">
        <v>342</v>
      </c>
      <c r="H618" s="54" t="s">
        <v>360</v>
      </c>
    </row>
    <row r="619" spans="1:8" ht="22.5" x14ac:dyDescent="0.6">
      <c r="A619" s="297">
        <v>44153.729861111111</v>
      </c>
      <c r="B619" s="74" t="s">
        <v>1058</v>
      </c>
      <c r="C619" s="116">
        <v>4960513</v>
      </c>
      <c r="D619" s="116"/>
      <c r="E619" s="115" t="s">
        <v>274</v>
      </c>
      <c r="F619" s="116" t="s">
        <v>275</v>
      </c>
      <c r="G619" s="115" t="s">
        <v>274</v>
      </c>
      <c r="H619" s="115" t="s">
        <v>1028</v>
      </c>
    </row>
    <row r="620" spans="1:8" ht="22.5" x14ac:dyDescent="0.6">
      <c r="A620" s="152">
        <v>44154.647222222222</v>
      </c>
      <c r="B620" s="74" t="s">
        <v>923</v>
      </c>
      <c r="C620" s="114"/>
      <c r="D620" s="114">
        <v>1029403</v>
      </c>
      <c r="E620" s="113" t="s">
        <v>71</v>
      </c>
      <c r="F620" s="114" t="s">
        <v>292</v>
      </c>
      <c r="G620" s="113" t="s">
        <v>71</v>
      </c>
      <c r="H620" s="54" t="s">
        <v>962</v>
      </c>
    </row>
    <row r="621" spans="1:8" ht="22.5" x14ac:dyDescent="0.6">
      <c r="A621" s="298">
        <v>44155.450694444444</v>
      </c>
      <c r="B621" s="74" t="s">
        <v>1059</v>
      </c>
      <c r="C621" s="118">
        <v>2573475</v>
      </c>
      <c r="D621" s="118"/>
      <c r="E621" s="117" t="s">
        <v>274</v>
      </c>
      <c r="F621" s="33" t="s">
        <v>283</v>
      </c>
      <c r="G621" s="117" t="s">
        <v>274</v>
      </c>
      <c r="H621" s="119" t="s">
        <v>806</v>
      </c>
    </row>
    <row r="622" spans="1:8" ht="22.5" x14ac:dyDescent="0.6">
      <c r="A622" s="299">
        <v>44155.568055555559</v>
      </c>
      <c r="B622" s="74" t="s">
        <v>1060</v>
      </c>
      <c r="C622" s="121"/>
      <c r="D622" s="121">
        <v>1459825</v>
      </c>
      <c r="E622" s="120" t="s">
        <v>312</v>
      </c>
      <c r="F622" s="75" t="s">
        <v>313</v>
      </c>
      <c r="G622" s="120" t="s">
        <v>312</v>
      </c>
      <c r="H622" s="31" t="s">
        <v>891</v>
      </c>
    </row>
    <row r="623" spans="1:8" ht="22.5" x14ac:dyDescent="0.6">
      <c r="A623" s="299">
        <v>44155.707638888889</v>
      </c>
      <c r="B623" s="74" t="s">
        <v>401</v>
      </c>
      <c r="C623" s="121"/>
      <c r="D623" s="121">
        <v>835096</v>
      </c>
      <c r="E623" s="120" t="s">
        <v>71</v>
      </c>
      <c r="F623" s="33" t="s">
        <v>293</v>
      </c>
      <c r="G623" s="120" t="s">
        <v>71</v>
      </c>
      <c r="H623" s="31" t="s">
        <v>1061</v>
      </c>
    </row>
    <row r="624" spans="1:8" ht="22.5" x14ac:dyDescent="0.6">
      <c r="A624" s="273">
        <v>44156.506249999999</v>
      </c>
      <c r="B624" s="74" t="s">
        <v>734</v>
      </c>
      <c r="C624" s="107">
        <v>2665531</v>
      </c>
      <c r="D624" s="107"/>
      <c r="E624" s="27" t="s">
        <v>274</v>
      </c>
      <c r="F624" s="107" t="s">
        <v>276</v>
      </c>
      <c r="G624" s="27" t="s">
        <v>248</v>
      </c>
      <c r="H624" s="31" t="s">
        <v>844</v>
      </c>
    </row>
    <row r="625" spans="1:8" ht="22.5" x14ac:dyDescent="0.6">
      <c r="A625" s="273">
        <v>44156.561111111114</v>
      </c>
      <c r="B625" s="74" t="s">
        <v>530</v>
      </c>
      <c r="C625" s="107">
        <v>4428259</v>
      </c>
      <c r="D625" s="107"/>
      <c r="E625" s="27" t="s">
        <v>274</v>
      </c>
      <c r="F625" s="75" t="s">
        <v>276</v>
      </c>
      <c r="G625" s="27" t="s">
        <v>274</v>
      </c>
      <c r="H625" s="31" t="s">
        <v>975</v>
      </c>
    </row>
    <row r="626" spans="1:8" ht="22.5" x14ac:dyDescent="0.6">
      <c r="A626" s="273">
        <v>44157.507638888892</v>
      </c>
      <c r="B626" s="74" t="s">
        <v>1062</v>
      </c>
      <c r="C626" s="107"/>
      <c r="D626" s="107">
        <v>1946433</v>
      </c>
      <c r="E626" s="27" t="s">
        <v>71</v>
      </c>
      <c r="F626" s="27" t="s">
        <v>293</v>
      </c>
      <c r="G626" s="27" t="s">
        <v>71</v>
      </c>
      <c r="H626" s="31" t="s">
        <v>832</v>
      </c>
    </row>
    <row r="627" spans="1:8" ht="22.5" x14ac:dyDescent="0.6">
      <c r="A627" s="273">
        <v>44157.570138888892</v>
      </c>
      <c r="B627" s="74" t="s">
        <v>973</v>
      </c>
      <c r="C627" s="107"/>
      <c r="D627" s="107">
        <v>1650411</v>
      </c>
      <c r="E627" s="27" t="s">
        <v>291</v>
      </c>
      <c r="F627" s="27" t="s">
        <v>293</v>
      </c>
      <c r="G627" s="27" t="s">
        <v>291</v>
      </c>
      <c r="H627" s="31" t="s">
        <v>687</v>
      </c>
    </row>
    <row r="628" spans="1:8" ht="22.5" x14ac:dyDescent="0.6">
      <c r="A628" s="273">
        <v>44158.497916666667</v>
      </c>
      <c r="B628" s="74" t="s">
        <v>1063</v>
      </c>
      <c r="C628" s="107">
        <v>2675759</v>
      </c>
      <c r="D628" s="107"/>
      <c r="E628" s="27" t="s">
        <v>274</v>
      </c>
      <c r="F628" s="27" t="s">
        <v>283</v>
      </c>
      <c r="G628" s="27" t="s">
        <v>274</v>
      </c>
      <c r="H628" s="31" t="s">
        <v>1064</v>
      </c>
    </row>
    <row r="629" spans="1:8" ht="22.5" x14ac:dyDescent="0.6">
      <c r="A629" s="273">
        <v>44158.704861111109</v>
      </c>
      <c r="B629" s="74" t="s">
        <v>1065</v>
      </c>
      <c r="C629" s="107"/>
      <c r="D629" s="107">
        <v>1410580</v>
      </c>
      <c r="E629" s="27" t="s">
        <v>71</v>
      </c>
      <c r="F629" s="107" t="s">
        <v>313</v>
      </c>
      <c r="G629" s="27" t="s">
        <v>71</v>
      </c>
      <c r="H629" s="31" t="s">
        <v>398</v>
      </c>
    </row>
    <row r="630" spans="1:8" ht="22.5" x14ac:dyDescent="0.6">
      <c r="A630" s="273">
        <v>44159.544444444444</v>
      </c>
      <c r="B630" s="74" t="s">
        <v>417</v>
      </c>
      <c r="C630" s="107">
        <v>2698781</v>
      </c>
      <c r="D630" s="107"/>
      <c r="E630" s="27" t="s">
        <v>274</v>
      </c>
      <c r="F630" s="27" t="s">
        <v>283</v>
      </c>
      <c r="G630" s="27" t="s">
        <v>274</v>
      </c>
      <c r="H630" s="31" t="s">
        <v>981</v>
      </c>
    </row>
    <row r="631" spans="1:8" ht="22.5" x14ac:dyDescent="0.6">
      <c r="A631" s="273">
        <v>44159.638194444444</v>
      </c>
      <c r="B631" s="74" t="s">
        <v>1066</v>
      </c>
      <c r="C631" s="107"/>
      <c r="D631" s="107">
        <v>304396</v>
      </c>
      <c r="E631" s="27" t="s">
        <v>71</v>
      </c>
      <c r="F631" s="107" t="s">
        <v>313</v>
      </c>
      <c r="G631" s="27" t="s">
        <v>71</v>
      </c>
      <c r="H631" s="31" t="s">
        <v>1067</v>
      </c>
    </row>
    <row r="632" spans="1:8" ht="22.5" x14ac:dyDescent="0.6">
      <c r="A632" s="273">
        <v>44159.638888888891</v>
      </c>
      <c r="B632" s="74" t="s">
        <v>1068</v>
      </c>
      <c r="C632" s="107">
        <v>1599637</v>
      </c>
      <c r="D632" s="107"/>
      <c r="E632" s="27" t="s">
        <v>274</v>
      </c>
      <c r="F632" s="107" t="s">
        <v>276</v>
      </c>
      <c r="G632" s="27" t="s">
        <v>274</v>
      </c>
      <c r="H632" s="31" t="s">
        <v>455</v>
      </c>
    </row>
    <row r="633" spans="1:8" ht="22.5" x14ac:dyDescent="0.6">
      <c r="A633" s="273">
        <v>44159.702777777777</v>
      </c>
      <c r="B633" s="74" t="s">
        <v>1012</v>
      </c>
      <c r="C633" s="107">
        <v>4496215</v>
      </c>
      <c r="D633" s="107"/>
      <c r="E633" s="27" t="s">
        <v>274</v>
      </c>
      <c r="F633" s="107" t="s">
        <v>276</v>
      </c>
      <c r="G633" s="27" t="s">
        <v>274</v>
      </c>
      <c r="H633" s="31" t="s">
        <v>1004</v>
      </c>
    </row>
    <row r="634" spans="1:8" ht="22.5" x14ac:dyDescent="0.6">
      <c r="A634" s="273">
        <v>44160.756249999999</v>
      </c>
      <c r="B634" s="74" t="s">
        <v>1069</v>
      </c>
      <c r="C634" s="107">
        <v>632992</v>
      </c>
      <c r="D634" s="107"/>
      <c r="E634" s="27" t="s">
        <v>274</v>
      </c>
      <c r="F634" s="107" t="s">
        <v>276</v>
      </c>
      <c r="G634" s="27" t="s">
        <v>248</v>
      </c>
      <c r="H634" s="31" t="s">
        <v>1007</v>
      </c>
    </row>
    <row r="635" spans="1:8" ht="22.5" x14ac:dyDescent="0.6">
      <c r="A635" s="273">
        <v>44161.768750000003</v>
      </c>
      <c r="B635" s="74" t="s">
        <v>1069</v>
      </c>
      <c r="C635" s="107">
        <v>1320584</v>
      </c>
      <c r="D635" s="107"/>
      <c r="E635" s="27" t="s">
        <v>274</v>
      </c>
      <c r="F635" s="107" t="s">
        <v>276</v>
      </c>
      <c r="G635" s="27" t="s">
        <v>248</v>
      </c>
      <c r="H635" s="31" t="s">
        <v>298</v>
      </c>
    </row>
    <row r="636" spans="1:8" ht="22.5" x14ac:dyDescent="0.6">
      <c r="A636" s="273">
        <v>44162.443749999999</v>
      </c>
      <c r="B636" s="74" t="s">
        <v>579</v>
      </c>
      <c r="C636" s="107">
        <v>701561</v>
      </c>
      <c r="D636" s="107"/>
      <c r="E636" s="27" t="s">
        <v>274</v>
      </c>
      <c r="F636" s="107" t="s">
        <v>276</v>
      </c>
      <c r="G636" s="27" t="s">
        <v>248</v>
      </c>
      <c r="H636" s="31" t="s">
        <v>692</v>
      </c>
    </row>
    <row r="637" spans="1:8" ht="22.5" x14ac:dyDescent="0.6">
      <c r="A637" s="273">
        <v>44162.460416666669</v>
      </c>
      <c r="B637" s="74" t="s">
        <v>1070</v>
      </c>
      <c r="C637" s="107">
        <v>2154005</v>
      </c>
      <c r="D637" s="107"/>
      <c r="E637" s="27" t="s">
        <v>274</v>
      </c>
      <c r="F637" s="107" t="s">
        <v>276</v>
      </c>
      <c r="G637" s="27" t="s">
        <v>248</v>
      </c>
      <c r="H637" s="31" t="s">
        <v>863</v>
      </c>
    </row>
    <row r="638" spans="1:8" ht="22.5" x14ac:dyDescent="0.6">
      <c r="A638" s="273">
        <v>44162.477777777778</v>
      </c>
      <c r="B638" s="74" t="s">
        <v>1071</v>
      </c>
      <c r="C638" s="107"/>
      <c r="D638" s="107">
        <v>1332565</v>
      </c>
      <c r="E638" s="27" t="s">
        <v>291</v>
      </c>
      <c r="F638" s="107" t="s">
        <v>313</v>
      </c>
      <c r="G638" s="27" t="s">
        <v>362</v>
      </c>
      <c r="H638" s="31" t="s">
        <v>345</v>
      </c>
    </row>
    <row r="639" spans="1:8" ht="22.5" x14ac:dyDescent="0.6">
      <c r="A639" s="273">
        <v>44162.59652777778</v>
      </c>
      <c r="B639" s="74" t="s">
        <v>1072</v>
      </c>
      <c r="C639" s="107">
        <v>2628735</v>
      </c>
      <c r="D639" s="107"/>
      <c r="E639" s="27" t="s">
        <v>274</v>
      </c>
      <c r="F639" s="107" t="s">
        <v>276</v>
      </c>
      <c r="G639" s="27" t="s">
        <v>248</v>
      </c>
      <c r="H639" s="31" t="s">
        <v>918</v>
      </c>
    </row>
    <row r="640" spans="1:8" ht="22.5" x14ac:dyDescent="0.6">
      <c r="A640" s="273">
        <v>44162.712500000001</v>
      </c>
      <c r="B640" s="74" t="s">
        <v>626</v>
      </c>
      <c r="C640" s="107"/>
      <c r="D640" s="107">
        <v>692928</v>
      </c>
      <c r="E640" s="27" t="s">
        <v>71</v>
      </c>
      <c r="F640" s="107" t="s">
        <v>313</v>
      </c>
      <c r="G640" s="27" t="s">
        <v>430</v>
      </c>
      <c r="H640" s="31" t="s">
        <v>630</v>
      </c>
    </row>
    <row r="641" spans="1:8" ht="22.5" x14ac:dyDescent="0.6">
      <c r="A641" s="273">
        <v>44163.408333333333</v>
      </c>
      <c r="B641" s="74" t="s">
        <v>1048</v>
      </c>
      <c r="C641" s="107">
        <v>4655921</v>
      </c>
      <c r="D641" s="107"/>
      <c r="E641" s="27" t="s">
        <v>274</v>
      </c>
      <c r="F641" s="107" t="s">
        <v>276</v>
      </c>
      <c r="G641" s="27" t="s">
        <v>248</v>
      </c>
      <c r="H641" s="31" t="s">
        <v>1073</v>
      </c>
    </row>
    <row r="642" spans="1:8" ht="22.5" x14ac:dyDescent="0.6">
      <c r="A642" s="273">
        <v>44166.496527777781</v>
      </c>
      <c r="B642" s="74" t="s">
        <v>678</v>
      </c>
      <c r="C642" s="107"/>
      <c r="D642" s="107">
        <v>583294</v>
      </c>
      <c r="E642" s="27" t="s">
        <v>342</v>
      </c>
      <c r="F642" s="107" t="s">
        <v>313</v>
      </c>
      <c r="G642" s="27" t="s">
        <v>343</v>
      </c>
      <c r="H642" s="31" t="s">
        <v>665</v>
      </c>
    </row>
    <row r="643" spans="1:8" ht="22.5" x14ac:dyDescent="0.6">
      <c r="A643" s="273">
        <v>44167.729166666664</v>
      </c>
      <c r="B643" s="74" t="s">
        <v>1074</v>
      </c>
      <c r="C643" s="107">
        <v>3088542</v>
      </c>
      <c r="D643" s="107"/>
      <c r="E643" s="27" t="s">
        <v>274</v>
      </c>
      <c r="F643" s="73" t="s">
        <v>276</v>
      </c>
      <c r="G643" s="73" t="s">
        <v>248</v>
      </c>
      <c r="H643" s="31" t="s">
        <v>1075</v>
      </c>
    </row>
    <row r="644" spans="1:8" ht="22.5" x14ac:dyDescent="0.6">
      <c r="A644" s="273">
        <v>44168.383333333331</v>
      </c>
      <c r="B644" s="74" t="s">
        <v>1076</v>
      </c>
      <c r="C644" s="107">
        <v>2675783</v>
      </c>
      <c r="D644" s="107"/>
      <c r="E644" s="27" t="s">
        <v>274</v>
      </c>
      <c r="F644" s="122" t="s">
        <v>276</v>
      </c>
      <c r="G644" s="48" t="s">
        <v>248</v>
      </c>
      <c r="H644" s="31" t="s">
        <v>1077</v>
      </c>
    </row>
    <row r="645" spans="1:8" ht="22.5" x14ac:dyDescent="0.6">
      <c r="A645" s="273">
        <v>44168.522222222222</v>
      </c>
      <c r="B645" s="74" t="s">
        <v>1078</v>
      </c>
      <c r="C645" s="107"/>
      <c r="D645" s="107">
        <v>781058</v>
      </c>
      <c r="E645" s="27" t="s">
        <v>342</v>
      </c>
      <c r="F645" s="122" t="s">
        <v>313</v>
      </c>
      <c r="G645" s="48" t="s">
        <v>343</v>
      </c>
      <c r="H645" s="31" t="s">
        <v>1036</v>
      </c>
    </row>
    <row r="646" spans="1:8" ht="22.5" x14ac:dyDescent="0.6">
      <c r="A646" s="273">
        <v>44168.589583333334</v>
      </c>
      <c r="B646" s="74" t="s">
        <v>1079</v>
      </c>
      <c r="C646" s="107">
        <v>2631665</v>
      </c>
      <c r="D646" s="107"/>
      <c r="E646" s="27" t="s">
        <v>274</v>
      </c>
      <c r="F646" s="107" t="s">
        <v>276</v>
      </c>
      <c r="G646" s="27" t="s">
        <v>274</v>
      </c>
      <c r="H646" s="31" t="s">
        <v>1073</v>
      </c>
    </row>
    <row r="647" spans="1:8" ht="22.5" x14ac:dyDescent="0.6">
      <c r="A647" s="273">
        <v>44168.716666666667</v>
      </c>
      <c r="B647" s="74" t="s">
        <v>878</v>
      </c>
      <c r="C647" s="107">
        <v>2852931</v>
      </c>
      <c r="D647" s="107"/>
      <c r="E647" s="27" t="s">
        <v>274</v>
      </c>
      <c r="F647" s="33" t="s">
        <v>283</v>
      </c>
      <c r="G647" s="27" t="s">
        <v>274</v>
      </c>
      <c r="H647" s="31" t="s">
        <v>685</v>
      </c>
    </row>
    <row r="648" spans="1:8" ht="22.5" x14ac:dyDescent="0.6">
      <c r="A648" s="273">
        <v>44168.783333333333</v>
      </c>
      <c r="B648" s="74" t="s">
        <v>1080</v>
      </c>
      <c r="C648" s="107"/>
      <c r="D648" s="107">
        <v>621516</v>
      </c>
      <c r="E648" s="27" t="s">
        <v>342</v>
      </c>
      <c r="F648" s="33" t="s">
        <v>293</v>
      </c>
      <c r="G648" s="27" t="s">
        <v>342</v>
      </c>
      <c r="H648" s="31" t="s">
        <v>447</v>
      </c>
    </row>
    <row r="649" spans="1:8" s="128" customFormat="1" ht="22.5" x14ac:dyDescent="0.6">
      <c r="A649" s="123">
        <v>44169.476388888892</v>
      </c>
      <c r="B649" s="124" t="s">
        <v>1081</v>
      </c>
      <c r="C649" s="125">
        <v>1080728</v>
      </c>
      <c r="D649" s="126"/>
      <c r="E649" s="124" t="s">
        <v>274</v>
      </c>
      <c r="F649" s="27" t="s">
        <v>283</v>
      </c>
      <c r="G649" s="23" t="s">
        <v>274</v>
      </c>
      <c r="H649" s="127" t="s">
        <v>981</v>
      </c>
    </row>
    <row r="650" spans="1:8" s="128" customFormat="1" ht="22.5" x14ac:dyDescent="0.6">
      <c r="A650" s="123">
        <v>44169.477083333331</v>
      </c>
      <c r="B650" s="124" t="s">
        <v>500</v>
      </c>
      <c r="C650" s="125">
        <v>3348404</v>
      </c>
      <c r="D650" s="129"/>
      <c r="E650" s="124" t="s">
        <v>274</v>
      </c>
      <c r="F650" s="23" t="s">
        <v>276</v>
      </c>
      <c r="G650" s="23" t="s">
        <v>248</v>
      </c>
      <c r="H650" s="127" t="s">
        <v>662</v>
      </c>
    </row>
    <row r="651" spans="1:8" s="128" customFormat="1" ht="22.5" x14ac:dyDescent="0.6">
      <c r="A651" s="123">
        <v>44170.5625</v>
      </c>
      <c r="B651" s="124" t="s">
        <v>1082</v>
      </c>
      <c r="C651" s="125"/>
      <c r="D651" s="125">
        <v>834552</v>
      </c>
      <c r="E651" s="124" t="s">
        <v>71</v>
      </c>
      <c r="F651" s="23" t="s">
        <v>313</v>
      </c>
      <c r="G651" s="23" t="s">
        <v>430</v>
      </c>
      <c r="H651" s="127" t="s">
        <v>481</v>
      </c>
    </row>
    <row r="652" spans="1:8" s="128" customFormat="1" ht="22.5" x14ac:dyDescent="0.6">
      <c r="A652" s="123">
        <v>44170.760416666664</v>
      </c>
      <c r="B652" s="124" t="s">
        <v>1083</v>
      </c>
      <c r="C652" s="125">
        <v>2770622</v>
      </c>
      <c r="D652" s="125"/>
      <c r="E652" s="124" t="s">
        <v>274</v>
      </c>
      <c r="F652" s="23" t="s">
        <v>276</v>
      </c>
      <c r="G652" s="23" t="s">
        <v>248</v>
      </c>
      <c r="H652" s="127" t="s">
        <v>505</v>
      </c>
    </row>
    <row r="653" spans="1:8" s="128" customFormat="1" ht="22.5" x14ac:dyDescent="0.6">
      <c r="A653" s="123">
        <v>44170.776388888888</v>
      </c>
      <c r="B653" s="124" t="s">
        <v>1084</v>
      </c>
      <c r="C653" s="125"/>
      <c r="D653" s="125">
        <v>1380290</v>
      </c>
      <c r="E653" s="124" t="s">
        <v>71</v>
      </c>
      <c r="F653" s="23" t="s">
        <v>313</v>
      </c>
      <c r="G653" s="23" t="s">
        <v>430</v>
      </c>
      <c r="H653" s="127" t="s">
        <v>752</v>
      </c>
    </row>
    <row r="654" spans="1:8" s="128" customFormat="1" ht="22.5" x14ac:dyDescent="0.6">
      <c r="A654" s="123">
        <v>44172.545138888891</v>
      </c>
      <c r="B654" s="124" t="s">
        <v>867</v>
      </c>
      <c r="C654" s="125"/>
      <c r="D654" s="125">
        <v>1590503</v>
      </c>
      <c r="E654" s="124" t="s">
        <v>59</v>
      </c>
      <c r="F654" s="23" t="s">
        <v>313</v>
      </c>
      <c r="G654" s="23" t="s">
        <v>442</v>
      </c>
      <c r="H654" s="127" t="s">
        <v>1085</v>
      </c>
    </row>
    <row r="655" spans="1:8" s="128" customFormat="1" ht="22.5" x14ac:dyDescent="0.6">
      <c r="A655" s="123">
        <v>44173.427083333336</v>
      </c>
      <c r="B655" s="124" t="s">
        <v>957</v>
      </c>
      <c r="C655" s="130">
        <v>3732065</v>
      </c>
      <c r="D655" s="131"/>
      <c r="E655" s="128" t="s">
        <v>274</v>
      </c>
      <c r="F655" s="23" t="s">
        <v>276</v>
      </c>
      <c r="G655" s="23" t="s">
        <v>248</v>
      </c>
      <c r="H655" s="127" t="s">
        <v>685</v>
      </c>
    </row>
    <row r="656" spans="1:8" s="128" customFormat="1" ht="22.5" x14ac:dyDescent="0.6">
      <c r="A656" s="123">
        <v>44173.529861111114</v>
      </c>
      <c r="B656" s="124" t="s">
        <v>1086</v>
      </c>
      <c r="C656" s="130"/>
      <c r="D656" s="132">
        <v>623524</v>
      </c>
      <c r="E656" s="128" t="s">
        <v>312</v>
      </c>
      <c r="F656" s="27" t="s">
        <v>293</v>
      </c>
      <c r="G656" s="23" t="s">
        <v>312</v>
      </c>
      <c r="H656" s="127" t="s">
        <v>539</v>
      </c>
    </row>
    <row r="657" spans="1:8" s="128" customFormat="1" ht="22.5" x14ac:dyDescent="0.6">
      <c r="A657" s="123">
        <v>44173.571527777778</v>
      </c>
      <c r="B657" s="124" t="s">
        <v>1087</v>
      </c>
      <c r="C657" s="133"/>
      <c r="D657" s="134">
        <v>357764</v>
      </c>
      <c r="E657" s="128" t="s">
        <v>291</v>
      </c>
      <c r="F657" s="33" t="s">
        <v>293</v>
      </c>
      <c r="G657" s="23" t="s">
        <v>291</v>
      </c>
      <c r="H657" s="127" t="s">
        <v>788</v>
      </c>
    </row>
    <row r="658" spans="1:8" s="128" customFormat="1" ht="22.5" x14ac:dyDescent="0.6">
      <c r="A658" s="123">
        <v>44173.709027777775</v>
      </c>
      <c r="B658" s="124" t="s">
        <v>1088</v>
      </c>
      <c r="D658" s="135">
        <v>545698</v>
      </c>
      <c r="E658" s="136" t="s">
        <v>71</v>
      </c>
      <c r="F658" s="23" t="s">
        <v>313</v>
      </c>
      <c r="G658" s="23" t="s">
        <v>71</v>
      </c>
      <c r="H658" s="127" t="s">
        <v>687</v>
      </c>
    </row>
    <row r="659" spans="1:8" s="128" customFormat="1" ht="22.5" x14ac:dyDescent="0.6">
      <c r="A659" s="137">
        <v>44173.720833333333</v>
      </c>
      <c r="B659" s="124" t="s">
        <v>1089</v>
      </c>
      <c r="C659" s="138">
        <v>1108617</v>
      </c>
      <c r="D659" s="138"/>
      <c r="E659" s="139" t="s">
        <v>274</v>
      </c>
      <c r="F659" s="23" t="s">
        <v>276</v>
      </c>
      <c r="G659" s="23" t="s">
        <v>248</v>
      </c>
      <c r="H659" s="127" t="s">
        <v>1090</v>
      </c>
    </row>
    <row r="660" spans="1:8" s="128" customFormat="1" ht="22.5" x14ac:dyDescent="0.6">
      <c r="A660" s="137">
        <v>44174.438194444447</v>
      </c>
      <c r="B660" s="124" t="s">
        <v>1052</v>
      </c>
      <c r="C660" s="138"/>
      <c r="D660" s="140">
        <v>454443</v>
      </c>
      <c r="E660" s="139" t="s">
        <v>291</v>
      </c>
      <c r="F660" s="23" t="s">
        <v>313</v>
      </c>
      <c r="G660" s="23" t="s">
        <v>291</v>
      </c>
      <c r="H660" s="127" t="s">
        <v>481</v>
      </c>
    </row>
    <row r="661" spans="1:8" s="128" customFormat="1" ht="22.5" x14ac:dyDescent="0.6">
      <c r="A661" s="137">
        <v>44174.695138888892</v>
      </c>
      <c r="B661" s="124" t="s">
        <v>1091</v>
      </c>
      <c r="C661" s="138"/>
      <c r="D661" s="140">
        <v>186085</v>
      </c>
      <c r="E661" s="139" t="s">
        <v>59</v>
      </c>
      <c r="F661" s="23" t="s">
        <v>313</v>
      </c>
      <c r="G661" s="23" t="s">
        <v>59</v>
      </c>
      <c r="H661" s="127" t="s">
        <v>1092</v>
      </c>
    </row>
    <row r="662" spans="1:8" s="128" customFormat="1" ht="22.5" x14ac:dyDescent="0.6">
      <c r="A662" s="137">
        <v>44175.69027777778</v>
      </c>
      <c r="B662" s="124" t="s">
        <v>577</v>
      </c>
      <c r="C662" s="138"/>
      <c r="D662" s="140">
        <v>1683400</v>
      </c>
      <c r="E662" s="139" t="s">
        <v>291</v>
      </c>
      <c r="F662" s="23" t="s">
        <v>313</v>
      </c>
      <c r="G662" s="23" t="s">
        <v>291</v>
      </c>
      <c r="H662" s="127" t="s">
        <v>345</v>
      </c>
    </row>
    <row r="663" spans="1:8" s="128" customFormat="1" ht="22.5" x14ac:dyDescent="0.6">
      <c r="A663" s="137">
        <v>44176.718055555553</v>
      </c>
      <c r="B663" s="124" t="s">
        <v>1013</v>
      </c>
      <c r="C663" s="141">
        <v>1515594</v>
      </c>
      <c r="D663" s="142"/>
      <c r="E663" s="143" t="s">
        <v>274</v>
      </c>
      <c r="F663" s="33" t="s">
        <v>283</v>
      </c>
      <c r="G663" s="23" t="s">
        <v>274</v>
      </c>
      <c r="H663" s="127" t="s">
        <v>983</v>
      </c>
    </row>
    <row r="664" spans="1:8" s="128" customFormat="1" ht="22.5" x14ac:dyDescent="0.6">
      <c r="A664" s="137">
        <v>44177.736111111109</v>
      </c>
      <c r="B664" s="124" t="s">
        <v>1093</v>
      </c>
      <c r="C664" s="141"/>
      <c r="D664" s="142">
        <v>957644</v>
      </c>
      <c r="E664" s="143" t="s">
        <v>71</v>
      </c>
      <c r="F664" s="33" t="s">
        <v>293</v>
      </c>
      <c r="G664" s="23" t="s">
        <v>71</v>
      </c>
      <c r="H664" s="127" t="s">
        <v>857</v>
      </c>
    </row>
    <row r="665" spans="1:8" s="128" customFormat="1" ht="22.5" x14ac:dyDescent="0.6">
      <c r="A665" s="137">
        <v>44178.392361111109</v>
      </c>
      <c r="B665" s="124" t="s">
        <v>1094</v>
      </c>
      <c r="C665" s="141"/>
      <c r="D665" s="142">
        <v>180013</v>
      </c>
      <c r="E665" s="143" t="s">
        <v>71</v>
      </c>
      <c r="F665" s="33" t="s">
        <v>293</v>
      </c>
      <c r="G665" s="23" t="s">
        <v>71</v>
      </c>
      <c r="H665" s="127" t="s">
        <v>1095</v>
      </c>
    </row>
    <row r="666" spans="1:8" s="128" customFormat="1" ht="22.5" x14ac:dyDescent="0.6">
      <c r="A666" s="144">
        <v>44178.55972222222</v>
      </c>
      <c r="B666" s="124" t="s">
        <v>1096</v>
      </c>
      <c r="C666" s="141"/>
      <c r="D666" s="142">
        <v>1323497</v>
      </c>
      <c r="E666" s="143" t="s">
        <v>312</v>
      </c>
      <c r="F666" s="33" t="s">
        <v>293</v>
      </c>
      <c r="G666" s="23" t="s">
        <v>312</v>
      </c>
      <c r="H666" s="127" t="s">
        <v>1085</v>
      </c>
    </row>
    <row r="667" spans="1:8" s="128" customFormat="1" ht="22.5" x14ac:dyDescent="0.6">
      <c r="A667" s="144">
        <v>44178.67083333333</v>
      </c>
      <c r="B667" s="124" t="s">
        <v>1097</v>
      </c>
      <c r="C667" s="141">
        <v>4361329</v>
      </c>
      <c r="D667" s="142"/>
      <c r="E667" s="143" t="s">
        <v>274</v>
      </c>
      <c r="F667" s="33" t="s">
        <v>283</v>
      </c>
      <c r="G667" s="23" t="s">
        <v>274</v>
      </c>
      <c r="H667" s="127" t="s">
        <v>845</v>
      </c>
    </row>
    <row r="668" spans="1:8" s="128" customFormat="1" ht="22.5" x14ac:dyDescent="0.6">
      <c r="A668" s="144">
        <v>44178.760416666664</v>
      </c>
      <c r="B668" s="124" t="s">
        <v>1098</v>
      </c>
      <c r="C668" s="141">
        <v>608259</v>
      </c>
      <c r="D668" s="142"/>
      <c r="E668" s="143" t="s">
        <v>274</v>
      </c>
      <c r="F668" s="23" t="s">
        <v>276</v>
      </c>
      <c r="G668" s="23" t="s">
        <v>274</v>
      </c>
      <c r="H668" s="127" t="s">
        <v>911</v>
      </c>
    </row>
    <row r="669" spans="1:8" s="128" customFormat="1" ht="22.5" x14ac:dyDescent="0.6">
      <c r="A669" s="144">
        <v>44179.46875</v>
      </c>
      <c r="B669" s="124" t="s">
        <v>1099</v>
      </c>
      <c r="C669" s="141"/>
      <c r="D669" s="141">
        <v>1370767</v>
      </c>
      <c r="E669" s="143" t="s">
        <v>312</v>
      </c>
      <c r="F669" s="33" t="s">
        <v>293</v>
      </c>
      <c r="G669" s="23" t="s">
        <v>312</v>
      </c>
      <c r="H669" s="127" t="s">
        <v>1100</v>
      </c>
    </row>
    <row r="670" spans="1:8" s="128" customFormat="1" ht="22.5" x14ac:dyDescent="0.6">
      <c r="A670" s="144">
        <v>44179.568055555559</v>
      </c>
      <c r="B670" s="124" t="s">
        <v>693</v>
      </c>
      <c r="C670" s="141"/>
      <c r="D670" s="141">
        <v>514401</v>
      </c>
      <c r="E670" s="143" t="s">
        <v>342</v>
      </c>
      <c r="F670" s="33" t="s">
        <v>293</v>
      </c>
      <c r="G670" s="23" t="s">
        <v>342</v>
      </c>
      <c r="H670" s="127" t="s">
        <v>857</v>
      </c>
    </row>
    <row r="671" spans="1:8" s="128" customFormat="1" ht="22.5" x14ac:dyDescent="0.6">
      <c r="A671" s="144">
        <v>44179.656944444447</v>
      </c>
      <c r="B671" s="124" t="s">
        <v>1101</v>
      </c>
      <c r="C671" s="141">
        <v>3356304</v>
      </c>
      <c r="D671" s="142"/>
      <c r="E671" s="143" t="s">
        <v>274</v>
      </c>
      <c r="F671" s="23" t="s">
        <v>276</v>
      </c>
      <c r="G671" s="23" t="s">
        <v>274</v>
      </c>
      <c r="H671" s="127" t="s">
        <v>692</v>
      </c>
    </row>
    <row r="672" spans="1:8" s="128" customFormat="1" ht="22.5" x14ac:dyDescent="0.6">
      <c r="A672" s="144">
        <v>44179.695833333331</v>
      </c>
      <c r="B672" s="124" t="s">
        <v>1102</v>
      </c>
      <c r="C672" s="141">
        <v>4771143</v>
      </c>
      <c r="D672" s="142"/>
      <c r="E672" s="143" t="s">
        <v>274</v>
      </c>
      <c r="F672" s="23" t="s">
        <v>276</v>
      </c>
      <c r="G672" s="23" t="s">
        <v>274</v>
      </c>
      <c r="H672" s="127" t="s">
        <v>799</v>
      </c>
    </row>
    <row r="673" spans="1:8" s="128" customFormat="1" ht="22.5" x14ac:dyDescent="0.6">
      <c r="A673" s="144">
        <v>44180.417361111111</v>
      </c>
      <c r="B673" s="124" t="s">
        <v>1103</v>
      </c>
      <c r="C673" s="141"/>
      <c r="D673" s="142">
        <v>1609572</v>
      </c>
      <c r="E673" s="143" t="s">
        <v>342</v>
      </c>
      <c r="F673" s="23" t="s">
        <v>313</v>
      </c>
      <c r="G673" s="23" t="s">
        <v>342</v>
      </c>
      <c r="H673" s="127" t="s">
        <v>1015</v>
      </c>
    </row>
    <row r="674" spans="1:8" s="128" customFormat="1" ht="22.5" x14ac:dyDescent="0.6">
      <c r="A674" s="145">
        <v>44182.504861111112</v>
      </c>
      <c r="B674" s="124" t="s">
        <v>1104</v>
      </c>
      <c r="C674" s="146"/>
      <c r="D674" s="147">
        <v>1961927</v>
      </c>
      <c r="E674" s="136" t="s">
        <v>59</v>
      </c>
      <c r="F674" s="23" t="s">
        <v>313</v>
      </c>
      <c r="G674" s="23" t="s">
        <v>59</v>
      </c>
      <c r="H674" s="127" t="s">
        <v>665</v>
      </c>
    </row>
    <row r="675" spans="1:8" s="128" customFormat="1" ht="22.5" x14ac:dyDescent="0.6">
      <c r="A675" s="145">
        <v>44182.690972222219</v>
      </c>
      <c r="B675" s="124" t="s">
        <v>1026</v>
      </c>
      <c r="C675" s="146">
        <v>1325495</v>
      </c>
      <c r="D675" s="147"/>
      <c r="E675" s="136" t="s">
        <v>274</v>
      </c>
      <c r="F675" s="23" t="s">
        <v>276</v>
      </c>
      <c r="G675" s="23" t="s">
        <v>274</v>
      </c>
      <c r="H675" s="127" t="s">
        <v>1105</v>
      </c>
    </row>
    <row r="676" spans="1:8" s="128" customFormat="1" ht="22.5" x14ac:dyDescent="0.6">
      <c r="A676" s="145">
        <v>44183.40625</v>
      </c>
      <c r="B676" s="124" t="s">
        <v>1106</v>
      </c>
      <c r="C676" s="146">
        <v>689043</v>
      </c>
      <c r="D676" s="146"/>
      <c r="E676" s="136" t="s">
        <v>274</v>
      </c>
      <c r="F676" s="23" t="s">
        <v>276</v>
      </c>
      <c r="G676" s="23" t="s">
        <v>248</v>
      </c>
      <c r="H676" s="127" t="s">
        <v>1004</v>
      </c>
    </row>
    <row r="677" spans="1:8" s="128" customFormat="1" ht="22.5" x14ac:dyDescent="0.6">
      <c r="A677" s="145">
        <v>44183.630555555559</v>
      </c>
      <c r="B677" s="124" t="s">
        <v>1107</v>
      </c>
      <c r="C677" s="146">
        <v>785135</v>
      </c>
      <c r="D677" s="146"/>
      <c r="E677" s="136" t="s">
        <v>274</v>
      </c>
      <c r="F677" s="23" t="s">
        <v>276</v>
      </c>
      <c r="G677" s="23" t="s">
        <v>248</v>
      </c>
      <c r="H677" s="127" t="s">
        <v>647</v>
      </c>
    </row>
    <row r="678" spans="1:8" s="128" customFormat="1" ht="22.5" x14ac:dyDescent="0.6">
      <c r="A678" s="145">
        <v>44185.441666666666</v>
      </c>
      <c r="B678" s="124" t="s">
        <v>1108</v>
      </c>
      <c r="C678" s="146">
        <v>1477781</v>
      </c>
      <c r="D678" s="146"/>
      <c r="E678" s="136" t="s">
        <v>274</v>
      </c>
      <c r="F678" s="33" t="s">
        <v>283</v>
      </c>
      <c r="G678" s="23" t="s">
        <v>274</v>
      </c>
      <c r="H678" s="127" t="s">
        <v>298</v>
      </c>
    </row>
    <row r="679" spans="1:8" s="128" customFormat="1" ht="22.5" x14ac:dyDescent="0.6">
      <c r="A679" s="145">
        <v>44185.586805555555</v>
      </c>
      <c r="B679" s="124" t="s">
        <v>319</v>
      </c>
      <c r="C679" s="146">
        <v>3818993</v>
      </c>
      <c r="D679" s="146"/>
      <c r="E679" s="136" t="s">
        <v>274</v>
      </c>
      <c r="F679" s="23" t="s">
        <v>276</v>
      </c>
      <c r="G679" s="23" t="s">
        <v>248</v>
      </c>
      <c r="H679" s="127" t="s">
        <v>1109</v>
      </c>
    </row>
    <row r="680" spans="1:8" s="128" customFormat="1" ht="22.5" x14ac:dyDescent="0.6">
      <c r="A680" s="145">
        <v>44185.744444444441</v>
      </c>
      <c r="B680" s="124" t="s">
        <v>1110</v>
      </c>
      <c r="C680" s="146"/>
      <c r="D680" s="146">
        <v>148208</v>
      </c>
      <c r="E680" s="136" t="s">
        <v>342</v>
      </c>
      <c r="F680" s="23" t="s">
        <v>313</v>
      </c>
      <c r="G680" s="23" t="s">
        <v>343</v>
      </c>
      <c r="H680" s="127" t="s">
        <v>338</v>
      </c>
    </row>
    <row r="681" spans="1:8" s="128" customFormat="1" ht="22.5" x14ac:dyDescent="0.6">
      <c r="A681" s="145">
        <v>44187.393055555556</v>
      </c>
      <c r="B681" s="124" t="s">
        <v>767</v>
      </c>
      <c r="C681" s="146">
        <v>2872979</v>
      </c>
      <c r="D681" s="148"/>
      <c r="E681" s="136" t="s">
        <v>274</v>
      </c>
      <c r="F681" s="27" t="s">
        <v>283</v>
      </c>
      <c r="G681" s="23" t="s">
        <v>274</v>
      </c>
      <c r="H681" s="127" t="s">
        <v>735</v>
      </c>
    </row>
    <row r="682" spans="1:8" s="128" customFormat="1" ht="22.5" x14ac:dyDescent="0.6">
      <c r="A682" s="145">
        <v>44187.697916666664</v>
      </c>
      <c r="B682" s="124" t="s">
        <v>1111</v>
      </c>
      <c r="C682" s="146"/>
      <c r="D682" s="147">
        <v>1108963</v>
      </c>
      <c r="E682" s="136" t="s">
        <v>342</v>
      </c>
      <c r="F682" s="23" t="s">
        <v>313</v>
      </c>
      <c r="G682" s="23" t="s">
        <v>342</v>
      </c>
      <c r="H682" s="127" t="s">
        <v>436</v>
      </c>
    </row>
    <row r="683" spans="1:8" s="128" customFormat="1" ht="22.5" x14ac:dyDescent="0.6">
      <c r="A683" s="145">
        <v>44188.4375</v>
      </c>
      <c r="B683" s="124" t="s">
        <v>1112</v>
      </c>
      <c r="C683" s="146"/>
      <c r="D683" s="146">
        <v>880923</v>
      </c>
      <c r="E683" s="136" t="s">
        <v>342</v>
      </c>
      <c r="F683" s="23" t="s">
        <v>313</v>
      </c>
      <c r="G683" s="23" t="s">
        <v>342</v>
      </c>
      <c r="H683" s="136" t="s">
        <v>1044</v>
      </c>
    </row>
    <row r="684" spans="1:8" s="128" customFormat="1" ht="22.5" x14ac:dyDescent="0.6">
      <c r="A684" s="145">
        <v>44188.597916666666</v>
      </c>
      <c r="B684" s="124" t="s">
        <v>1113</v>
      </c>
      <c r="C684" s="146"/>
      <c r="D684" s="146">
        <v>169653</v>
      </c>
      <c r="E684" s="136" t="s">
        <v>59</v>
      </c>
      <c r="F684" s="33" t="s">
        <v>293</v>
      </c>
      <c r="G684" s="23" t="s">
        <v>59</v>
      </c>
      <c r="H684" s="136" t="s">
        <v>1061</v>
      </c>
    </row>
    <row r="685" spans="1:8" s="128" customFormat="1" ht="22.5" x14ac:dyDescent="0.6">
      <c r="A685" s="145">
        <v>44188.779166666667</v>
      </c>
      <c r="B685" s="124" t="s">
        <v>1114</v>
      </c>
      <c r="C685" s="146"/>
      <c r="D685" s="146">
        <v>544191</v>
      </c>
      <c r="E685" s="136" t="s">
        <v>312</v>
      </c>
      <c r="F685" s="27" t="s">
        <v>293</v>
      </c>
      <c r="G685" s="23" t="s">
        <v>312</v>
      </c>
      <c r="H685" s="136" t="s">
        <v>680</v>
      </c>
    </row>
    <row r="686" spans="1:8" s="128" customFormat="1" ht="22.5" x14ac:dyDescent="0.6">
      <c r="A686" s="145">
        <v>44189.752083333333</v>
      </c>
      <c r="B686" s="124" t="s">
        <v>1115</v>
      </c>
      <c r="C686" s="146"/>
      <c r="D686" s="146">
        <v>1317563</v>
      </c>
      <c r="E686" s="136" t="s">
        <v>342</v>
      </c>
      <c r="F686" s="23" t="s">
        <v>313</v>
      </c>
      <c r="G686" s="23" t="s">
        <v>342</v>
      </c>
      <c r="H686" s="136" t="s">
        <v>377</v>
      </c>
    </row>
    <row r="687" spans="1:8" s="128" customFormat="1" ht="22.5" x14ac:dyDescent="0.6">
      <c r="A687" s="145">
        <v>44190.731944444444</v>
      </c>
      <c r="B687" s="124" t="s">
        <v>1116</v>
      </c>
      <c r="C687" s="146"/>
      <c r="D687" s="146">
        <v>1470656</v>
      </c>
      <c r="E687" s="136" t="s">
        <v>59</v>
      </c>
      <c r="F687" s="23" t="s">
        <v>313</v>
      </c>
      <c r="G687" s="23" t="s">
        <v>59</v>
      </c>
      <c r="H687" s="136" t="s">
        <v>1067</v>
      </c>
    </row>
    <row r="688" spans="1:8" s="128" customFormat="1" ht="22.5" x14ac:dyDescent="0.6">
      <c r="A688" s="145">
        <v>44190.777777777781</v>
      </c>
      <c r="B688" s="124" t="s">
        <v>1117</v>
      </c>
      <c r="C688" s="146">
        <v>1271440</v>
      </c>
      <c r="D688" s="146"/>
      <c r="E688" s="136" t="s">
        <v>274</v>
      </c>
      <c r="F688" s="23" t="s">
        <v>276</v>
      </c>
      <c r="G688" s="23" t="s">
        <v>248</v>
      </c>
      <c r="H688" s="136" t="s">
        <v>1007</v>
      </c>
    </row>
    <row r="689" spans="1:8" s="128" customFormat="1" ht="22.5" x14ac:dyDescent="0.6">
      <c r="A689" s="145">
        <v>44191.464583333334</v>
      </c>
      <c r="B689" s="124" t="s">
        <v>1118</v>
      </c>
      <c r="C689" s="146"/>
      <c r="D689" s="146">
        <v>1300578</v>
      </c>
      <c r="E689" s="136" t="s">
        <v>342</v>
      </c>
      <c r="F689" s="23" t="s">
        <v>313</v>
      </c>
      <c r="G689" s="23" t="s">
        <v>342</v>
      </c>
      <c r="H689" s="136" t="s">
        <v>674</v>
      </c>
    </row>
    <row r="690" spans="1:8" s="128" customFormat="1" ht="22.5" x14ac:dyDescent="0.6">
      <c r="A690" s="145">
        <v>44191.49722222222</v>
      </c>
      <c r="B690" s="124" t="s">
        <v>1119</v>
      </c>
      <c r="C690" s="146">
        <v>2362290</v>
      </c>
      <c r="D690" s="146"/>
      <c r="E690" s="136" t="s">
        <v>274</v>
      </c>
      <c r="F690" s="23" t="s">
        <v>276</v>
      </c>
      <c r="G690" s="23" t="s">
        <v>274</v>
      </c>
      <c r="H690" s="136" t="s">
        <v>349</v>
      </c>
    </row>
    <row r="691" spans="1:8" s="128" customFormat="1" ht="22.5" x14ac:dyDescent="0.6">
      <c r="A691" s="145">
        <v>44191.575694444444</v>
      </c>
      <c r="B691" s="124" t="s">
        <v>1120</v>
      </c>
      <c r="C691" s="146"/>
      <c r="D691" s="146">
        <v>1807292</v>
      </c>
      <c r="E691" s="136" t="s">
        <v>59</v>
      </c>
      <c r="F691" s="27" t="s">
        <v>293</v>
      </c>
      <c r="G691" s="23" t="s">
        <v>59</v>
      </c>
      <c r="H691" s="136" t="s">
        <v>1100</v>
      </c>
    </row>
    <row r="692" spans="1:8" s="128" customFormat="1" ht="22.5" x14ac:dyDescent="0.6">
      <c r="A692" s="145">
        <v>44191.646527777775</v>
      </c>
      <c r="B692" s="124" t="s">
        <v>1121</v>
      </c>
      <c r="C692" s="134">
        <v>4436742</v>
      </c>
      <c r="D692" s="134"/>
      <c r="E692" s="134" t="s">
        <v>274</v>
      </c>
      <c r="F692" s="23" t="s">
        <v>276</v>
      </c>
      <c r="G692" s="23" t="s">
        <v>248</v>
      </c>
      <c r="H692" s="127" t="s">
        <v>570</v>
      </c>
    </row>
    <row r="693" spans="1:8" s="128" customFormat="1" ht="22.5" x14ac:dyDescent="0.6">
      <c r="A693" s="145">
        <v>44191.73541666667</v>
      </c>
      <c r="B693" s="124" t="s">
        <v>545</v>
      </c>
      <c r="C693" s="134">
        <v>2105395</v>
      </c>
      <c r="D693" s="134"/>
      <c r="E693" s="134" t="s">
        <v>274</v>
      </c>
      <c r="F693" s="23" t="s">
        <v>276</v>
      </c>
      <c r="G693" s="23" t="s">
        <v>248</v>
      </c>
      <c r="H693" s="127" t="s">
        <v>416</v>
      </c>
    </row>
    <row r="694" spans="1:8" s="128" customFormat="1" ht="22.5" x14ac:dyDescent="0.6">
      <c r="A694" s="145">
        <v>44193.445833333331</v>
      </c>
      <c r="B694" s="124" t="s">
        <v>1122</v>
      </c>
      <c r="C694" s="134">
        <v>730072</v>
      </c>
      <c r="D694" s="134"/>
      <c r="E694" s="134" t="s">
        <v>274</v>
      </c>
      <c r="F694" s="27" t="s">
        <v>283</v>
      </c>
      <c r="G694" s="23" t="s">
        <v>274</v>
      </c>
      <c r="H694" s="127" t="s">
        <v>1123</v>
      </c>
    </row>
    <row r="695" spans="1:8" s="128" customFormat="1" ht="22.5" x14ac:dyDescent="0.6">
      <c r="A695" s="145">
        <v>44193.59097222222</v>
      </c>
      <c r="B695" s="124" t="s">
        <v>473</v>
      </c>
      <c r="C695" s="134">
        <v>3269674</v>
      </c>
      <c r="D695" s="134"/>
      <c r="E695" s="134" t="s">
        <v>274</v>
      </c>
      <c r="F695" s="33" t="s">
        <v>283</v>
      </c>
      <c r="G695" s="23" t="s">
        <v>274</v>
      </c>
      <c r="H695" s="127" t="s">
        <v>1124</v>
      </c>
    </row>
    <row r="696" spans="1:8" s="128" customFormat="1" ht="13.15" x14ac:dyDescent="0.6">
      <c r="A696" s="145">
        <v>43993.578622685185</v>
      </c>
      <c r="B696" s="124">
        <v>6</v>
      </c>
      <c r="C696" s="134"/>
      <c r="D696" s="149"/>
      <c r="E696" s="134"/>
      <c r="F696" s="23" t="s">
        <v>69</v>
      </c>
      <c r="G696" s="23"/>
      <c r="H696" s="127" t="s">
        <v>83</v>
      </c>
    </row>
    <row r="697" spans="1:8" s="128" customFormat="1" x14ac:dyDescent="0.6">
      <c r="A697" s="145">
        <v>43994.578622685185</v>
      </c>
      <c r="B697" s="124">
        <v>6</v>
      </c>
      <c r="C697" s="134"/>
      <c r="D697" s="134"/>
      <c r="E697" s="134"/>
      <c r="F697" s="33" t="s">
        <v>68</v>
      </c>
      <c r="G697" s="23"/>
      <c r="H697" s="127" t="s">
        <v>84</v>
      </c>
    </row>
    <row r="698" spans="1:8" s="128" customFormat="1" ht="13.15" x14ac:dyDescent="0.6">
      <c r="A698" s="145">
        <v>43994.578622685185</v>
      </c>
      <c r="B698" s="124">
        <v>6</v>
      </c>
      <c r="C698" s="134"/>
      <c r="D698" s="150"/>
      <c r="E698" s="134"/>
      <c r="F698" s="23" t="s">
        <v>66</v>
      </c>
      <c r="G698" s="23"/>
      <c r="H698" s="127" t="s">
        <v>85</v>
      </c>
    </row>
    <row r="699" spans="1:8" s="128" customFormat="1" x14ac:dyDescent="0.6">
      <c r="A699" s="145">
        <v>43994.578622685185</v>
      </c>
      <c r="B699" s="124">
        <v>6</v>
      </c>
      <c r="C699" s="134"/>
      <c r="D699" s="134"/>
      <c r="E699" s="134"/>
      <c r="F699" s="33" t="s">
        <v>68</v>
      </c>
      <c r="G699" s="23"/>
      <c r="H699" s="127" t="s">
        <v>86</v>
      </c>
    </row>
    <row r="700" spans="1:8" s="128" customFormat="1" x14ac:dyDescent="0.6">
      <c r="A700" s="145">
        <v>43994.578622685185</v>
      </c>
      <c r="B700" s="124">
        <v>6</v>
      </c>
      <c r="C700" s="134"/>
      <c r="D700" s="134"/>
      <c r="E700" s="134"/>
      <c r="F700" s="33" t="s">
        <v>68</v>
      </c>
      <c r="G700" s="23"/>
      <c r="H700" s="127" t="s">
        <v>87</v>
      </c>
    </row>
    <row r="701" spans="1:8" s="128" customFormat="1" ht="13.15" x14ac:dyDescent="0.6">
      <c r="A701" s="145">
        <v>43994.578622685185</v>
      </c>
      <c r="B701" s="124">
        <v>6</v>
      </c>
      <c r="C701" s="134"/>
      <c r="D701" s="134"/>
      <c r="E701" s="134"/>
      <c r="F701" s="23" t="s">
        <v>58</v>
      </c>
      <c r="G701" s="23" t="s">
        <v>44</v>
      </c>
      <c r="H701" s="127" t="s">
        <v>88</v>
      </c>
    </row>
    <row r="702" spans="1:8" s="128" customFormat="1" ht="13.15" x14ac:dyDescent="0.6">
      <c r="A702" s="145">
        <v>43994.578622685185</v>
      </c>
      <c r="B702" s="124">
        <v>6</v>
      </c>
      <c r="C702" s="134"/>
      <c r="D702" s="149"/>
      <c r="E702" s="134"/>
      <c r="F702" s="23" t="s">
        <v>69</v>
      </c>
      <c r="G702" s="23"/>
      <c r="H702" s="127" t="s">
        <v>89</v>
      </c>
    </row>
    <row r="703" spans="1:8" s="128" customFormat="1" ht="13.15" x14ac:dyDescent="0.6">
      <c r="A703" s="145">
        <v>43997.578622685185</v>
      </c>
      <c r="B703" s="124">
        <v>6</v>
      </c>
      <c r="C703" s="134"/>
      <c r="D703" s="149"/>
      <c r="E703" s="134"/>
      <c r="F703" s="23" t="s">
        <v>69</v>
      </c>
      <c r="G703" s="23"/>
      <c r="H703" s="127" t="s">
        <v>90</v>
      </c>
    </row>
    <row r="704" spans="1:8" s="128" customFormat="1" x14ac:dyDescent="0.6">
      <c r="A704" s="145">
        <v>43997.578622685185</v>
      </c>
      <c r="B704" s="124">
        <v>6</v>
      </c>
      <c r="C704" s="134"/>
      <c r="D704" s="134"/>
      <c r="E704" s="134"/>
      <c r="F704" s="33" t="s">
        <v>68</v>
      </c>
      <c r="G704" s="23"/>
      <c r="H704" s="127" t="s">
        <v>91</v>
      </c>
    </row>
    <row r="705" spans="1:8" s="128" customFormat="1" x14ac:dyDescent="0.6">
      <c r="A705" s="145">
        <v>43997.578622685185</v>
      </c>
      <c r="B705" s="124">
        <v>6</v>
      </c>
      <c r="C705" s="134"/>
      <c r="D705" s="134"/>
      <c r="E705" s="134"/>
      <c r="F705" s="33" t="s">
        <v>68</v>
      </c>
      <c r="G705" s="23"/>
      <c r="H705" s="127" t="s">
        <v>92</v>
      </c>
    </row>
    <row r="706" spans="1:8" s="128" customFormat="1" ht="13.15" x14ac:dyDescent="0.6">
      <c r="A706" s="145">
        <v>43997.578622685185</v>
      </c>
      <c r="B706" s="124">
        <v>6</v>
      </c>
      <c r="C706" s="134"/>
      <c r="D706" s="134"/>
      <c r="E706" s="134"/>
      <c r="F706" s="23" t="s">
        <v>60</v>
      </c>
      <c r="G706" s="23" t="s">
        <v>67</v>
      </c>
      <c r="H706" s="127" t="s">
        <v>93</v>
      </c>
    </row>
    <row r="707" spans="1:8" s="128" customFormat="1" ht="13.15" x14ac:dyDescent="0.6">
      <c r="A707" s="145">
        <v>43998.578622685185</v>
      </c>
      <c r="B707" s="124">
        <v>6</v>
      </c>
      <c r="C707" s="134"/>
      <c r="D707" s="149"/>
      <c r="E707" s="134"/>
      <c r="F707" s="23" t="s">
        <v>69</v>
      </c>
      <c r="G707" s="23"/>
      <c r="H707" s="127" t="s">
        <v>94</v>
      </c>
    </row>
    <row r="708" spans="1:8" s="128" customFormat="1" ht="13.15" x14ac:dyDescent="0.6">
      <c r="A708" s="145">
        <v>43998.578622685185</v>
      </c>
      <c r="B708" s="124">
        <v>6</v>
      </c>
      <c r="C708" s="134"/>
      <c r="D708" s="134"/>
      <c r="E708" s="134"/>
      <c r="F708" s="23" t="s">
        <v>58</v>
      </c>
      <c r="G708" s="23" t="s">
        <v>59</v>
      </c>
      <c r="H708" s="127" t="s">
        <v>95</v>
      </c>
    </row>
    <row r="709" spans="1:8" s="128" customFormat="1" ht="13.15" x14ac:dyDescent="0.6">
      <c r="A709" s="145">
        <v>43998.578622685185</v>
      </c>
      <c r="B709" s="124">
        <v>6</v>
      </c>
      <c r="C709" s="134"/>
      <c r="D709" s="134"/>
      <c r="E709" s="134"/>
      <c r="F709" s="23" t="s">
        <v>63</v>
      </c>
      <c r="G709" s="23"/>
      <c r="H709" s="127" t="s">
        <v>96</v>
      </c>
    </row>
    <row r="710" spans="1:8" s="128" customFormat="1" ht="13.15" x14ac:dyDescent="0.6">
      <c r="A710" s="151">
        <v>43999.569421296299</v>
      </c>
      <c r="B710" s="124">
        <v>6</v>
      </c>
      <c r="C710" s="134"/>
      <c r="D710" s="134"/>
      <c r="E710" s="134"/>
      <c r="F710" s="27" t="s">
        <v>63</v>
      </c>
      <c r="G710" s="23"/>
      <c r="H710" s="127" t="s">
        <v>97</v>
      </c>
    </row>
    <row r="711" spans="1:8" s="128" customFormat="1" ht="13.15" x14ac:dyDescent="0.6">
      <c r="A711" s="151">
        <v>43999.569421296299</v>
      </c>
      <c r="B711" s="124">
        <v>6</v>
      </c>
      <c r="C711" s="134"/>
      <c r="D711" s="134"/>
      <c r="E711" s="134"/>
      <c r="F711" s="27" t="s">
        <v>63</v>
      </c>
      <c r="G711" s="23"/>
      <c r="H711" s="127" t="s">
        <v>97</v>
      </c>
    </row>
    <row r="712" spans="1:8" s="128" customFormat="1" ht="13.15" x14ac:dyDescent="0.6">
      <c r="A712" s="151">
        <v>43999.569432870368</v>
      </c>
      <c r="B712" s="124">
        <v>6</v>
      </c>
      <c r="C712" s="134"/>
      <c r="D712" s="134"/>
      <c r="E712" s="134"/>
      <c r="F712" s="27" t="s">
        <v>63</v>
      </c>
      <c r="G712" s="23"/>
      <c r="H712" s="127" t="s">
        <v>97</v>
      </c>
    </row>
    <row r="713" spans="1:8" s="128" customFormat="1" ht="13.15" x14ac:dyDescent="0.6">
      <c r="A713" s="151">
        <v>43999.569432870368</v>
      </c>
      <c r="B713" s="124">
        <v>6</v>
      </c>
      <c r="C713" s="134"/>
      <c r="D713" s="134"/>
      <c r="E713" s="134"/>
      <c r="F713" s="27" t="s">
        <v>63</v>
      </c>
      <c r="G713" s="23"/>
      <c r="H713" s="127" t="s">
        <v>97</v>
      </c>
    </row>
    <row r="714" spans="1:8" s="128" customFormat="1" ht="13.15" x14ac:dyDescent="0.6">
      <c r="A714" s="151">
        <v>43999.569444444445</v>
      </c>
      <c r="B714" s="124">
        <v>6</v>
      </c>
      <c r="C714" s="134"/>
      <c r="D714" s="134"/>
      <c r="E714" s="134"/>
      <c r="F714" s="27" t="s">
        <v>63</v>
      </c>
      <c r="G714" s="23"/>
      <c r="H714" s="127" t="s">
        <v>97</v>
      </c>
    </row>
    <row r="715" spans="1:8" s="128" customFormat="1" ht="13.15" x14ac:dyDescent="0.6">
      <c r="A715" s="151">
        <v>43999.569444444445</v>
      </c>
      <c r="B715" s="124">
        <v>6</v>
      </c>
      <c r="C715" s="134"/>
      <c r="D715" s="134"/>
      <c r="E715" s="134"/>
      <c r="F715" s="27" t="s">
        <v>63</v>
      </c>
      <c r="G715" s="23"/>
      <c r="H715" s="127" t="s">
        <v>97</v>
      </c>
    </row>
    <row r="716" spans="1:8" s="128" customFormat="1" ht="13.15" x14ac:dyDescent="0.6">
      <c r="A716" s="151">
        <v>43999.569456018522</v>
      </c>
      <c r="B716" s="124">
        <v>6</v>
      </c>
      <c r="C716" s="134"/>
      <c r="D716" s="134"/>
      <c r="E716" s="134"/>
      <c r="F716" s="27" t="s">
        <v>63</v>
      </c>
      <c r="G716" s="23"/>
      <c r="H716" s="127" t="s">
        <v>97</v>
      </c>
    </row>
    <row r="717" spans="1:8" s="128" customFormat="1" x14ac:dyDescent="0.6">
      <c r="A717" s="151">
        <v>43999.569456018522</v>
      </c>
      <c r="B717" s="124">
        <v>6</v>
      </c>
      <c r="C717" s="134"/>
      <c r="D717" s="134"/>
      <c r="E717" s="134"/>
      <c r="F717" s="33" t="s">
        <v>68</v>
      </c>
      <c r="G717" s="23"/>
      <c r="H717" s="127" t="s">
        <v>98</v>
      </c>
    </row>
    <row r="718" spans="1:8" s="128" customFormat="1" ht="13.15" x14ac:dyDescent="0.6">
      <c r="A718" s="151">
        <v>43999.603194444448</v>
      </c>
      <c r="B718" s="124">
        <v>6</v>
      </c>
      <c r="C718" s="134"/>
      <c r="D718" s="134"/>
      <c r="E718" s="134"/>
      <c r="F718" s="23" t="s">
        <v>58</v>
      </c>
      <c r="G718" s="23" t="s">
        <v>59</v>
      </c>
      <c r="H718" s="127" t="s">
        <v>99</v>
      </c>
    </row>
    <row r="719" spans="1:8" s="128" customFormat="1" x14ac:dyDescent="0.6">
      <c r="A719" s="151">
        <v>44000.603194444448</v>
      </c>
      <c r="B719" s="124">
        <v>6</v>
      </c>
      <c r="C719" s="134"/>
      <c r="D719" s="134"/>
      <c r="E719" s="134"/>
      <c r="F719" s="33" t="s">
        <v>68</v>
      </c>
      <c r="G719" s="23"/>
      <c r="H719" s="127" t="s">
        <v>100</v>
      </c>
    </row>
    <row r="720" spans="1:8" s="128" customFormat="1" ht="13.15" x14ac:dyDescent="0.6">
      <c r="A720" s="151">
        <v>44000.603194444448</v>
      </c>
      <c r="B720" s="124">
        <v>6</v>
      </c>
      <c r="C720" s="134"/>
      <c r="D720" s="149"/>
      <c r="E720" s="134"/>
      <c r="F720" s="23" t="s">
        <v>69</v>
      </c>
      <c r="G720" s="23"/>
      <c r="H720" s="127" t="s">
        <v>101</v>
      </c>
    </row>
    <row r="721" spans="1:8" s="128" customFormat="1" ht="13.15" x14ac:dyDescent="0.6">
      <c r="A721" s="151">
        <v>44000.603194444448</v>
      </c>
      <c r="B721" s="124">
        <v>6</v>
      </c>
      <c r="C721" s="134"/>
      <c r="D721" s="134"/>
      <c r="E721" s="134"/>
      <c r="F721" s="23" t="s">
        <v>65</v>
      </c>
      <c r="G721" s="23"/>
      <c r="H721" s="127" t="s">
        <v>102</v>
      </c>
    </row>
    <row r="722" spans="1:8" s="128" customFormat="1" x14ac:dyDescent="0.6">
      <c r="A722" s="152">
        <v>43983.682164351849</v>
      </c>
      <c r="B722" s="124">
        <v>6</v>
      </c>
      <c r="C722" s="114"/>
      <c r="D722" s="114"/>
      <c r="E722" s="113"/>
      <c r="F722" s="33" t="s">
        <v>68</v>
      </c>
      <c r="G722" s="54"/>
      <c r="H722" s="54" t="s">
        <v>103</v>
      </c>
    </row>
    <row r="723" spans="1:8" s="128" customFormat="1" x14ac:dyDescent="0.45">
      <c r="A723" s="152">
        <v>43998.682164351849</v>
      </c>
      <c r="B723" s="124">
        <v>6</v>
      </c>
      <c r="C723" s="114"/>
      <c r="D723" s="153"/>
      <c r="E723" s="153"/>
      <c r="F723" s="33" t="s">
        <v>68</v>
      </c>
      <c r="G723" s="54"/>
      <c r="H723" s="54" t="s">
        <v>103</v>
      </c>
    </row>
    <row r="724" spans="1:8" s="128" customFormat="1" ht="13.15" x14ac:dyDescent="0.45">
      <c r="A724" s="152">
        <v>43999.682175925926</v>
      </c>
      <c r="B724" s="124">
        <v>6</v>
      </c>
      <c r="C724" s="153"/>
      <c r="D724" s="114"/>
      <c r="E724" s="153"/>
      <c r="F724" s="54"/>
      <c r="G724" s="54"/>
      <c r="H724" s="54"/>
    </row>
    <row r="725" spans="1:8" s="128" customFormat="1" x14ac:dyDescent="0.45">
      <c r="A725" s="152">
        <v>43999.682175925926</v>
      </c>
      <c r="B725" s="124">
        <v>6</v>
      </c>
      <c r="C725" s="114"/>
      <c r="D725" s="153"/>
      <c r="E725" s="153"/>
      <c r="F725" s="33" t="s">
        <v>68</v>
      </c>
      <c r="G725" s="54"/>
      <c r="H725" s="54" t="s">
        <v>103</v>
      </c>
    </row>
    <row r="726" spans="1:8" s="128" customFormat="1" ht="13.15" x14ac:dyDescent="0.45">
      <c r="A726" s="152">
        <v>43999.682210648149</v>
      </c>
      <c r="B726" s="124">
        <v>6</v>
      </c>
      <c r="C726" s="114"/>
      <c r="D726" s="153"/>
      <c r="E726" s="153"/>
      <c r="F726" s="54"/>
      <c r="G726" s="54"/>
      <c r="H726" s="54"/>
    </row>
    <row r="727" spans="1:8" s="128" customFormat="1" ht="13.15" x14ac:dyDescent="0.45">
      <c r="A727" s="152">
        <v>43999.682210648149</v>
      </c>
      <c r="B727" s="124">
        <v>6</v>
      </c>
      <c r="C727" s="153"/>
      <c r="D727" s="114"/>
      <c r="E727" s="113"/>
      <c r="F727" s="27" t="s">
        <v>63</v>
      </c>
      <c r="G727" s="54"/>
      <c r="H727" s="54" t="s">
        <v>104</v>
      </c>
    </row>
    <row r="728" spans="1:8" s="128" customFormat="1" ht="13.15" x14ac:dyDescent="0.45">
      <c r="A728" s="152">
        <v>43999.682210648149</v>
      </c>
      <c r="B728" s="124">
        <v>6</v>
      </c>
      <c r="C728" s="153"/>
      <c r="D728" s="114"/>
      <c r="E728" s="113"/>
      <c r="F728" s="27" t="s">
        <v>63</v>
      </c>
      <c r="G728" s="54"/>
      <c r="H728" s="54" t="s">
        <v>104</v>
      </c>
    </row>
    <row r="729" spans="1:8" s="128" customFormat="1" ht="13.15" x14ac:dyDescent="0.45">
      <c r="A729" s="152">
        <v>43999.682210648149</v>
      </c>
      <c r="B729" s="124">
        <v>6</v>
      </c>
      <c r="C729" s="153"/>
      <c r="D729" s="114"/>
      <c r="E729" s="113"/>
      <c r="F729" s="27" t="s">
        <v>63</v>
      </c>
      <c r="G729" s="54"/>
      <c r="H729" s="54" t="s">
        <v>104</v>
      </c>
    </row>
    <row r="730" spans="1:8" s="128" customFormat="1" ht="13.15" x14ac:dyDescent="0.45">
      <c r="A730" s="152">
        <v>43999.682210648149</v>
      </c>
      <c r="B730" s="124">
        <v>6</v>
      </c>
      <c r="C730" s="153"/>
      <c r="D730" s="114"/>
      <c r="E730" s="113"/>
      <c r="F730" s="27" t="s">
        <v>63</v>
      </c>
      <c r="G730" s="54"/>
      <c r="H730" s="54" t="s">
        <v>104</v>
      </c>
    </row>
    <row r="731" spans="1:8" s="128" customFormat="1" ht="13.15" x14ac:dyDescent="0.45">
      <c r="A731" s="152">
        <v>43999.682210648149</v>
      </c>
      <c r="B731" s="124">
        <v>6</v>
      </c>
      <c r="C731" s="153"/>
      <c r="D731" s="114"/>
      <c r="E731" s="113"/>
      <c r="F731" s="27" t="s">
        <v>63</v>
      </c>
      <c r="G731" s="54"/>
      <c r="H731" s="54" t="s">
        <v>104</v>
      </c>
    </row>
    <row r="732" spans="1:8" s="128" customFormat="1" ht="13.15" x14ac:dyDescent="0.45">
      <c r="A732" s="152">
        <v>43999.682210648149</v>
      </c>
      <c r="B732" s="124">
        <v>6</v>
      </c>
      <c r="C732" s="153"/>
      <c r="D732" s="114"/>
      <c r="E732" s="113"/>
      <c r="F732" s="27" t="s">
        <v>63</v>
      </c>
      <c r="G732" s="54"/>
      <c r="H732" s="54" t="s">
        <v>104</v>
      </c>
    </row>
    <row r="733" spans="1:8" s="128" customFormat="1" ht="13.15" x14ac:dyDescent="0.45">
      <c r="A733" s="152">
        <v>43999.682210648149</v>
      </c>
      <c r="B733" s="124">
        <v>6</v>
      </c>
      <c r="C733" s="153"/>
      <c r="D733" s="114"/>
      <c r="E733" s="113"/>
      <c r="F733" s="27" t="s">
        <v>63</v>
      </c>
      <c r="G733" s="54"/>
      <c r="H733" s="54" t="s">
        <v>104</v>
      </c>
    </row>
    <row r="734" spans="1:8" ht="12.75" customHeight="1" x14ac:dyDescent="0.6">
      <c r="A734" s="154" t="s">
        <v>105</v>
      </c>
      <c r="B734" s="124">
        <v>6</v>
      </c>
      <c r="C734" s="155"/>
      <c r="D734" s="155"/>
      <c r="E734" s="156"/>
      <c r="F734" s="33" t="s">
        <v>68</v>
      </c>
    </row>
    <row r="735" spans="1:8" ht="12.75" customHeight="1" x14ac:dyDescent="0.6">
      <c r="A735" s="154" t="s">
        <v>105</v>
      </c>
      <c r="B735" s="124">
        <v>6</v>
      </c>
      <c r="C735" s="155"/>
      <c r="D735" s="157"/>
      <c r="E735" s="156"/>
      <c r="F735" s="23" t="s">
        <v>69</v>
      </c>
      <c r="G735" s="23" t="s">
        <v>69</v>
      </c>
    </row>
    <row r="736" spans="1:8" ht="12.75" customHeight="1" x14ac:dyDescent="0.6">
      <c r="A736" s="154" t="s">
        <v>105</v>
      </c>
      <c r="B736" s="124">
        <v>6</v>
      </c>
      <c r="C736" s="155"/>
      <c r="D736" s="157"/>
      <c r="E736" s="156"/>
      <c r="F736" s="23" t="s">
        <v>69</v>
      </c>
      <c r="G736" s="23" t="s">
        <v>69</v>
      </c>
    </row>
    <row r="737" spans="1:8" ht="12.75" customHeight="1" x14ac:dyDescent="0.6">
      <c r="A737" s="154" t="s">
        <v>105</v>
      </c>
      <c r="B737" s="124">
        <v>6</v>
      </c>
      <c r="C737" s="155"/>
      <c r="D737" s="157"/>
      <c r="E737" s="156"/>
      <c r="F737" s="23" t="s">
        <v>69</v>
      </c>
      <c r="G737" s="23" t="s">
        <v>69</v>
      </c>
    </row>
    <row r="738" spans="1:8" ht="12.75" customHeight="1" x14ac:dyDescent="0.6">
      <c r="A738" s="154" t="s">
        <v>105</v>
      </c>
      <c r="B738" s="124">
        <v>6</v>
      </c>
      <c r="C738" s="155"/>
      <c r="D738" s="157"/>
      <c r="E738" s="156"/>
      <c r="F738" s="23" t="s">
        <v>69</v>
      </c>
      <c r="G738" s="23" t="s">
        <v>69</v>
      </c>
    </row>
    <row r="739" spans="1:8" ht="12.75" customHeight="1" x14ac:dyDescent="0.6">
      <c r="A739" s="154" t="s">
        <v>105</v>
      </c>
      <c r="B739" s="124">
        <v>6</v>
      </c>
      <c r="C739" s="155"/>
      <c r="D739" s="157"/>
      <c r="E739" s="156"/>
      <c r="F739" s="23" t="s">
        <v>69</v>
      </c>
      <c r="G739" s="23" t="s">
        <v>69</v>
      </c>
    </row>
    <row r="740" spans="1:8" ht="12.75" customHeight="1" x14ac:dyDescent="0.6">
      <c r="A740" s="154" t="s">
        <v>106</v>
      </c>
      <c r="B740" s="124">
        <v>6</v>
      </c>
      <c r="C740" s="158"/>
      <c r="D740" s="155"/>
      <c r="E740" s="156"/>
      <c r="F740" s="33" t="s">
        <v>64</v>
      </c>
    </row>
    <row r="741" spans="1:8" ht="12.75" customHeight="1" x14ac:dyDescent="0.6">
      <c r="A741" s="154" t="s">
        <v>106</v>
      </c>
      <c r="B741" s="124">
        <v>6</v>
      </c>
      <c r="C741" s="158"/>
      <c r="D741" s="155"/>
      <c r="E741" s="156"/>
      <c r="F741" s="33" t="s">
        <v>64</v>
      </c>
    </row>
    <row r="742" spans="1:8" ht="12.75" customHeight="1" x14ac:dyDescent="0.6">
      <c r="A742" s="154" t="s">
        <v>106</v>
      </c>
      <c r="B742" s="124">
        <v>6</v>
      </c>
      <c r="C742" s="158"/>
      <c r="D742" s="155"/>
      <c r="E742" s="156"/>
      <c r="F742" s="33" t="s">
        <v>64</v>
      </c>
    </row>
    <row r="743" spans="1:8" ht="12.75" customHeight="1" x14ac:dyDescent="0.6">
      <c r="A743" s="154" t="s">
        <v>107</v>
      </c>
      <c r="B743" s="124">
        <v>6</v>
      </c>
      <c r="C743" s="155"/>
      <c r="D743" s="155"/>
      <c r="E743" s="156"/>
      <c r="F743" s="33" t="s">
        <v>68</v>
      </c>
    </row>
    <row r="744" spans="1:8" ht="12.75" customHeight="1" x14ac:dyDescent="0.6">
      <c r="A744" s="154" t="s">
        <v>107</v>
      </c>
      <c r="B744" s="124">
        <v>6</v>
      </c>
      <c r="C744" s="155"/>
      <c r="D744" s="155"/>
      <c r="E744" s="156"/>
      <c r="F744" s="33" t="s">
        <v>68</v>
      </c>
    </row>
    <row r="745" spans="1:8" ht="12.75" customHeight="1" x14ac:dyDescent="0.6">
      <c r="A745" s="154" t="s">
        <v>107</v>
      </c>
      <c r="B745" s="124">
        <v>6</v>
      </c>
      <c r="C745" s="155"/>
      <c r="D745" s="159"/>
      <c r="E745" s="156"/>
      <c r="F745" s="23" t="s">
        <v>69</v>
      </c>
      <c r="G745" s="23" t="s">
        <v>69</v>
      </c>
    </row>
    <row r="746" spans="1:8" ht="12.75" customHeight="1" x14ac:dyDescent="0.6">
      <c r="A746" s="154" t="s">
        <v>107</v>
      </c>
      <c r="B746" s="124">
        <v>6</v>
      </c>
      <c r="C746" s="155"/>
      <c r="D746" s="160"/>
      <c r="E746" s="156"/>
      <c r="F746" s="23" t="s">
        <v>58</v>
      </c>
      <c r="G746" s="23" t="s">
        <v>59</v>
      </c>
    </row>
    <row r="747" spans="1:8" ht="12.75" customHeight="1" x14ac:dyDescent="0.6">
      <c r="A747" s="154" t="s">
        <v>107</v>
      </c>
      <c r="B747" s="124">
        <v>6</v>
      </c>
      <c r="C747" s="155"/>
      <c r="D747" s="160"/>
      <c r="E747" s="156"/>
      <c r="F747" s="23" t="s">
        <v>58</v>
      </c>
      <c r="G747" s="23" t="s">
        <v>59</v>
      </c>
    </row>
    <row r="748" spans="1:8" ht="12.75" customHeight="1" x14ac:dyDescent="0.6">
      <c r="A748" s="154" t="s">
        <v>107</v>
      </c>
      <c r="B748" s="124">
        <v>6</v>
      </c>
      <c r="C748" s="155"/>
      <c r="D748" s="159"/>
      <c r="E748" s="156"/>
      <c r="F748" s="23" t="s">
        <v>69</v>
      </c>
      <c r="G748" s="23" t="s">
        <v>69</v>
      </c>
    </row>
    <row r="749" spans="1:8" ht="12.75" customHeight="1" x14ac:dyDescent="0.6">
      <c r="A749" s="154" t="s">
        <v>108</v>
      </c>
      <c r="B749" s="124">
        <v>6</v>
      </c>
      <c r="C749" s="155"/>
      <c r="D749" s="155"/>
      <c r="E749" s="156"/>
      <c r="F749" s="33" t="s">
        <v>68</v>
      </c>
    </row>
    <row r="750" spans="1:8" ht="12.75" customHeight="1" x14ac:dyDescent="0.6">
      <c r="A750" s="154" t="s">
        <v>108</v>
      </c>
      <c r="B750" s="124">
        <v>6</v>
      </c>
      <c r="C750" s="161"/>
      <c r="D750" s="155"/>
      <c r="E750" s="162"/>
      <c r="F750" s="33" t="s">
        <v>64</v>
      </c>
      <c r="H750" s="162" t="s">
        <v>109</v>
      </c>
    </row>
    <row r="751" spans="1:8" ht="12.75" customHeight="1" x14ac:dyDescent="0.6">
      <c r="A751" s="154" t="s">
        <v>108</v>
      </c>
      <c r="B751" s="124">
        <v>6</v>
      </c>
      <c r="C751" s="155"/>
      <c r="D751" s="155"/>
      <c r="E751" s="156"/>
      <c r="F751" s="33" t="s">
        <v>68</v>
      </c>
    </row>
    <row r="752" spans="1:8" ht="12.75" customHeight="1" x14ac:dyDescent="0.6">
      <c r="A752" s="154" t="s">
        <v>108</v>
      </c>
      <c r="B752" s="124">
        <v>6</v>
      </c>
      <c r="C752" s="155"/>
      <c r="D752" s="155"/>
      <c r="E752" s="156"/>
      <c r="F752" s="33" t="s">
        <v>68</v>
      </c>
    </row>
    <row r="753" spans="1:7" ht="12.75" customHeight="1" x14ac:dyDescent="0.6">
      <c r="A753" s="154" t="s">
        <v>108</v>
      </c>
      <c r="B753" s="124">
        <v>6</v>
      </c>
      <c r="C753" s="155"/>
      <c r="D753" s="155"/>
      <c r="E753" s="156"/>
      <c r="F753" s="33" t="s">
        <v>68</v>
      </c>
    </row>
    <row r="754" spans="1:7" ht="12.75" customHeight="1" x14ac:dyDescent="0.6">
      <c r="A754" s="154" t="s">
        <v>108</v>
      </c>
      <c r="B754" s="124">
        <v>6</v>
      </c>
      <c r="C754" s="155"/>
      <c r="D754" s="159"/>
      <c r="E754" s="156"/>
      <c r="F754" s="23" t="s">
        <v>69</v>
      </c>
      <c r="G754" s="23" t="s">
        <v>69</v>
      </c>
    </row>
    <row r="755" spans="1:7" ht="12.75" customHeight="1" x14ac:dyDescent="0.6">
      <c r="A755" s="154" t="s">
        <v>108</v>
      </c>
      <c r="B755" s="124">
        <v>6</v>
      </c>
      <c r="C755" s="155"/>
      <c r="D755" s="160"/>
      <c r="E755" s="156"/>
      <c r="F755" s="23" t="s">
        <v>66</v>
      </c>
      <c r="G755" s="23" t="s">
        <v>66</v>
      </c>
    </row>
    <row r="756" spans="1:7" ht="12.75" customHeight="1" x14ac:dyDescent="0.6">
      <c r="A756" s="154" t="s">
        <v>108</v>
      </c>
      <c r="B756" s="124">
        <v>6</v>
      </c>
      <c r="C756" s="155"/>
      <c r="D756" s="158"/>
      <c r="E756" s="156"/>
      <c r="F756" s="27" t="s">
        <v>63</v>
      </c>
      <c r="G756" s="23" t="s">
        <v>110</v>
      </c>
    </row>
    <row r="757" spans="1:7" ht="12.75" customHeight="1" x14ac:dyDescent="0.6">
      <c r="A757" s="154" t="s">
        <v>108</v>
      </c>
      <c r="B757" s="124">
        <v>6</v>
      </c>
      <c r="C757" s="155"/>
      <c r="D757" s="159"/>
      <c r="E757" s="156"/>
      <c r="F757" s="23" t="s">
        <v>69</v>
      </c>
      <c r="G757" s="23" t="s">
        <v>69</v>
      </c>
    </row>
    <row r="758" spans="1:7" ht="12.75" customHeight="1" x14ac:dyDescent="0.6">
      <c r="A758" s="154" t="s">
        <v>108</v>
      </c>
      <c r="B758" s="124">
        <v>6</v>
      </c>
      <c r="C758" s="155"/>
      <c r="D758" s="159"/>
      <c r="E758" s="156"/>
      <c r="F758" s="23" t="s">
        <v>69</v>
      </c>
      <c r="G758" s="23" t="s">
        <v>69</v>
      </c>
    </row>
    <row r="759" spans="1:7" ht="12.75" customHeight="1" x14ac:dyDescent="0.6">
      <c r="A759" s="154" t="s">
        <v>108</v>
      </c>
      <c r="B759" s="124">
        <v>6</v>
      </c>
      <c r="C759" s="155"/>
      <c r="D759" s="159"/>
      <c r="E759" s="156"/>
      <c r="F759" s="23" t="s">
        <v>69</v>
      </c>
      <c r="G759" s="23" t="s">
        <v>69</v>
      </c>
    </row>
    <row r="760" spans="1:7" ht="12.75" customHeight="1" x14ac:dyDescent="0.6">
      <c r="A760" s="154" t="s">
        <v>108</v>
      </c>
      <c r="B760" s="124">
        <v>6</v>
      </c>
      <c r="C760" s="155"/>
      <c r="D760" s="159"/>
      <c r="E760" s="156"/>
      <c r="F760" s="23" t="s">
        <v>69</v>
      </c>
      <c r="G760" s="23" t="s">
        <v>69</v>
      </c>
    </row>
    <row r="761" spans="1:7" ht="12.75" customHeight="1" x14ac:dyDescent="0.6">
      <c r="A761" s="154" t="s">
        <v>108</v>
      </c>
      <c r="B761" s="124">
        <v>6</v>
      </c>
      <c r="C761" s="155"/>
      <c r="D761" s="159"/>
      <c r="E761" s="156"/>
      <c r="F761" s="23" t="s">
        <v>69</v>
      </c>
      <c r="G761" s="23" t="s">
        <v>69</v>
      </c>
    </row>
    <row r="762" spans="1:7" ht="12.75" customHeight="1" x14ac:dyDescent="0.6">
      <c r="A762" s="154" t="s">
        <v>108</v>
      </c>
      <c r="B762" s="124">
        <v>6</v>
      </c>
      <c r="C762" s="155"/>
      <c r="D762" s="159"/>
      <c r="E762" s="156"/>
      <c r="F762" s="23" t="s">
        <v>69</v>
      </c>
      <c r="G762" s="23" t="s">
        <v>69</v>
      </c>
    </row>
    <row r="763" spans="1:7" ht="12.75" customHeight="1" x14ac:dyDescent="0.6">
      <c r="A763" s="154" t="s">
        <v>108</v>
      </c>
      <c r="B763" s="124">
        <v>6</v>
      </c>
      <c r="C763" s="155"/>
      <c r="D763" s="160"/>
      <c r="E763" s="156"/>
      <c r="F763" s="23" t="s">
        <v>58</v>
      </c>
      <c r="G763" s="23" t="s">
        <v>59</v>
      </c>
    </row>
    <row r="764" spans="1:7" ht="12.75" customHeight="1" x14ac:dyDescent="0.6">
      <c r="A764" s="154" t="s">
        <v>108</v>
      </c>
      <c r="B764" s="124">
        <v>6</v>
      </c>
      <c r="C764" s="155"/>
      <c r="D764" s="160"/>
      <c r="E764" s="156"/>
      <c r="F764" s="23" t="s">
        <v>58</v>
      </c>
      <c r="G764" s="23" t="s">
        <v>59</v>
      </c>
    </row>
    <row r="765" spans="1:7" ht="12.75" customHeight="1" x14ac:dyDescent="0.6">
      <c r="A765" s="154" t="s">
        <v>108</v>
      </c>
      <c r="B765" s="124">
        <v>6</v>
      </c>
      <c r="C765" s="155"/>
      <c r="D765" s="159"/>
      <c r="E765" s="156"/>
      <c r="F765" s="23" t="s">
        <v>69</v>
      </c>
      <c r="G765" s="23" t="s">
        <v>69</v>
      </c>
    </row>
    <row r="766" spans="1:7" ht="12.75" customHeight="1" x14ac:dyDescent="0.6">
      <c r="A766" s="154" t="s">
        <v>111</v>
      </c>
      <c r="B766" s="124">
        <v>6</v>
      </c>
      <c r="C766" s="155"/>
      <c r="D766" s="155"/>
      <c r="E766" s="156"/>
      <c r="F766" s="33" t="s">
        <v>68</v>
      </c>
    </row>
    <row r="767" spans="1:7" ht="12.75" customHeight="1" x14ac:dyDescent="0.6">
      <c r="A767" s="154" t="s">
        <v>111</v>
      </c>
      <c r="B767" s="124">
        <v>6</v>
      </c>
      <c r="C767" s="155"/>
      <c r="D767" s="155"/>
      <c r="E767" s="156"/>
      <c r="F767" s="33" t="s">
        <v>68</v>
      </c>
    </row>
    <row r="768" spans="1:7" ht="12.75" customHeight="1" x14ac:dyDescent="0.6">
      <c r="A768" s="154" t="s">
        <v>111</v>
      </c>
      <c r="B768" s="124">
        <v>6</v>
      </c>
      <c r="C768" s="155"/>
      <c r="D768" s="155"/>
      <c r="E768" s="156"/>
      <c r="F768" s="33" t="s">
        <v>68</v>
      </c>
    </row>
    <row r="769" spans="1:7" ht="12.75" customHeight="1" x14ac:dyDescent="0.6">
      <c r="A769" s="154" t="s">
        <v>111</v>
      </c>
      <c r="B769" s="124">
        <v>6</v>
      </c>
      <c r="C769" s="155"/>
      <c r="D769" s="155"/>
      <c r="E769" s="156"/>
      <c r="F769" s="23" t="s">
        <v>69</v>
      </c>
    </row>
    <row r="770" spans="1:7" ht="12.75" customHeight="1" x14ac:dyDescent="0.6">
      <c r="A770" s="154" t="s">
        <v>111</v>
      </c>
      <c r="B770" s="124">
        <v>6</v>
      </c>
      <c r="C770" s="155"/>
      <c r="D770" s="157"/>
      <c r="E770" s="156"/>
      <c r="F770" s="23" t="s">
        <v>69</v>
      </c>
      <c r="G770" s="23" t="s">
        <v>69</v>
      </c>
    </row>
    <row r="771" spans="1:7" ht="12.75" customHeight="1" x14ac:dyDescent="0.6">
      <c r="A771" s="154" t="s">
        <v>111</v>
      </c>
      <c r="B771" s="124">
        <v>6</v>
      </c>
      <c r="C771" s="155"/>
      <c r="D771" s="157"/>
      <c r="E771" s="156"/>
      <c r="F771" s="23" t="s">
        <v>69</v>
      </c>
      <c r="G771" s="23" t="s">
        <v>69</v>
      </c>
    </row>
    <row r="772" spans="1:7" ht="12.75" customHeight="1" x14ac:dyDescent="0.6">
      <c r="A772" s="154" t="s">
        <v>111</v>
      </c>
      <c r="B772" s="124">
        <v>6</v>
      </c>
      <c r="C772" s="155"/>
      <c r="D772" s="157"/>
      <c r="E772" s="156"/>
      <c r="F772" s="23" t="s">
        <v>69</v>
      </c>
      <c r="G772" s="23" t="s">
        <v>69</v>
      </c>
    </row>
    <row r="773" spans="1:7" ht="12.75" customHeight="1" x14ac:dyDescent="0.6">
      <c r="A773" s="154" t="s">
        <v>111</v>
      </c>
      <c r="B773" s="124">
        <v>6</v>
      </c>
      <c r="C773" s="155"/>
      <c r="D773" s="157"/>
      <c r="E773" s="156"/>
      <c r="F773" s="23" t="s">
        <v>69</v>
      </c>
      <c r="G773" s="23" t="s">
        <v>69</v>
      </c>
    </row>
    <row r="774" spans="1:7" ht="12.75" customHeight="1" x14ac:dyDescent="0.6">
      <c r="A774" s="154" t="s">
        <v>111</v>
      </c>
      <c r="B774" s="124">
        <v>6</v>
      </c>
      <c r="C774" s="155"/>
      <c r="D774" s="157"/>
      <c r="E774" s="156"/>
      <c r="F774" s="23" t="s">
        <v>69</v>
      </c>
      <c r="G774" s="23" t="s">
        <v>69</v>
      </c>
    </row>
    <row r="775" spans="1:7" ht="12.75" customHeight="1" x14ac:dyDescent="0.6">
      <c r="A775" s="154" t="s">
        <v>111</v>
      </c>
      <c r="B775" s="124">
        <v>6</v>
      </c>
      <c r="C775" s="155"/>
      <c r="D775" s="157"/>
      <c r="E775" s="156"/>
      <c r="F775" s="23" t="s">
        <v>69</v>
      </c>
      <c r="G775" s="23" t="s">
        <v>69</v>
      </c>
    </row>
    <row r="776" spans="1:7" ht="12.75" customHeight="1" x14ac:dyDescent="0.6">
      <c r="A776" s="154" t="s">
        <v>111</v>
      </c>
      <c r="B776" s="124">
        <v>6</v>
      </c>
      <c r="C776" s="155"/>
      <c r="D776" s="157"/>
      <c r="E776" s="156"/>
      <c r="F776" s="23" t="s">
        <v>69</v>
      </c>
      <c r="G776" s="23" t="s">
        <v>69</v>
      </c>
    </row>
    <row r="777" spans="1:7" ht="12.75" customHeight="1" x14ac:dyDescent="0.6">
      <c r="A777" s="154" t="s">
        <v>111</v>
      </c>
      <c r="B777" s="124">
        <v>6</v>
      </c>
      <c r="C777" s="155"/>
      <c r="D777" s="157"/>
      <c r="E777" s="156"/>
      <c r="F777" s="23" t="s">
        <v>69</v>
      </c>
      <c r="G777" s="23" t="s">
        <v>69</v>
      </c>
    </row>
    <row r="778" spans="1:7" ht="12.75" customHeight="1" x14ac:dyDescent="0.6">
      <c r="A778" s="154" t="s">
        <v>111</v>
      </c>
      <c r="B778" s="124">
        <v>6</v>
      </c>
      <c r="C778" s="155"/>
      <c r="D778" s="157"/>
      <c r="E778" s="156"/>
      <c r="F778" s="23" t="s">
        <v>69</v>
      </c>
      <c r="G778" s="23" t="s">
        <v>69</v>
      </c>
    </row>
    <row r="779" spans="1:7" ht="12.75" customHeight="1" x14ac:dyDescent="0.6">
      <c r="A779" s="154" t="s">
        <v>111</v>
      </c>
      <c r="B779" s="124">
        <v>6</v>
      </c>
      <c r="C779" s="155"/>
      <c r="D779" s="161"/>
      <c r="E779" s="156"/>
      <c r="F779" s="27" t="s">
        <v>63</v>
      </c>
      <c r="G779" s="23" t="s">
        <v>110</v>
      </c>
    </row>
    <row r="780" spans="1:7" ht="12.75" customHeight="1" x14ac:dyDescent="0.6">
      <c r="A780" s="154" t="s">
        <v>111</v>
      </c>
      <c r="B780" s="124">
        <v>6</v>
      </c>
      <c r="C780" s="155"/>
      <c r="D780" s="161"/>
      <c r="E780" s="156"/>
      <c r="F780" s="27" t="s">
        <v>63</v>
      </c>
      <c r="G780" s="23" t="s">
        <v>110</v>
      </c>
    </row>
    <row r="781" spans="1:7" ht="12.75" customHeight="1" x14ac:dyDescent="0.6">
      <c r="A781" s="154" t="s">
        <v>111</v>
      </c>
      <c r="B781" s="124">
        <v>6</v>
      </c>
      <c r="C781" s="155"/>
      <c r="D781" s="161"/>
      <c r="E781" s="156"/>
      <c r="F781" s="27" t="s">
        <v>63</v>
      </c>
      <c r="G781" s="23" t="s">
        <v>110</v>
      </c>
    </row>
    <row r="782" spans="1:7" ht="12.75" customHeight="1" x14ac:dyDescent="0.6">
      <c r="A782" s="154" t="s">
        <v>111</v>
      </c>
      <c r="B782" s="124">
        <v>6</v>
      </c>
      <c r="C782" s="155"/>
      <c r="D782" s="161"/>
      <c r="E782" s="156"/>
      <c r="F782" s="27" t="s">
        <v>63</v>
      </c>
      <c r="G782" s="23" t="s">
        <v>110</v>
      </c>
    </row>
    <row r="783" spans="1:7" ht="12.75" customHeight="1" x14ac:dyDescent="0.6">
      <c r="A783" s="154" t="s">
        <v>111</v>
      </c>
      <c r="B783" s="124">
        <v>6</v>
      </c>
      <c r="C783" s="155"/>
      <c r="D783" s="161"/>
      <c r="E783" s="156"/>
      <c r="F783" s="27" t="s">
        <v>63</v>
      </c>
      <c r="G783" s="23" t="s">
        <v>110</v>
      </c>
    </row>
    <row r="784" spans="1:7" ht="12.75" customHeight="1" x14ac:dyDescent="0.6">
      <c r="A784" s="154" t="s">
        <v>111</v>
      </c>
      <c r="B784" s="124">
        <v>6</v>
      </c>
      <c r="C784" s="155"/>
      <c r="D784" s="161"/>
      <c r="E784" s="156"/>
      <c r="F784" s="27" t="s">
        <v>63</v>
      </c>
      <c r="G784" s="23" t="s">
        <v>110</v>
      </c>
    </row>
    <row r="785" spans="1:7" ht="12.75" customHeight="1" x14ac:dyDescent="0.6">
      <c r="A785" s="154" t="s">
        <v>111</v>
      </c>
      <c r="B785" s="124">
        <v>6</v>
      </c>
      <c r="C785" s="155"/>
      <c r="D785" s="161"/>
      <c r="E785" s="156"/>
      <c r="F785" s="27" t="s">
        <v>63</v>
      </c>
      <c r="G785" s="23" t="s">
        <v>110</v>
      </c>
    </row>
    <row r="786" spans="1:7" ht="12.75" customHeight="1" x14ac:dyDescent="0.6">
      <c r="A786" s="154" t="s">
        <v>111</v>
      </c>
      <c r="B786" s="124">
        <v>6</v>
      </c>
      <c r="C786" s="155"/>
      <c r="D786" s="161"/>
      <c r="E786" s="156"/>
      <c r="F786" s="27" t="s">
        <v>63</v>
      </c>
      <c r="G786" s="23" t="s">
        <v>110</v>
      </c>
    </row>
    <row r="787" spans="1:7" ht="12.75" customHeight="1" x14ac:dyDescent="0.6">
      <c r="A787" s="154" t="s">
        <v>111</v>
      </c>
      <c r="B787" s="124">
        <v>6</v>
      </c>
      <c r="C787" s="155"/>
      <c r="D787" s="161"/>
      <c r="E787" s="156"/>
      <c r="F787" s="27" t="s">
        <v>63</v>
      </c>
      <c r="G787" s="23" t="s">
        <v>110</v>
      </c>
    </row>
    <row r="788" spans="1:7" ht="12.75" customHeight="1" x14ac:dyDescent="0.6">
      <c r="A788" s="154" t="s">
        <v>111</v>
      </c>
      <c r="B788" s="124">
        <v>6</v>
      </c>
      <c r="C788" s="155"/>
      <c r="D788" s="161"/>
      <c r="E788" s="156"/>
      <c r="F788" s="27" t="s">
        <v>63</v>
      </c>
      <c r="G788" s="23" t="s">
        <v>110</v>
      </c>
    </row>
    <row r="789" spans="1:7" ht="12.75" customHeight="1" x14ac:dyDescent="0.6">
      <c r="A789" s="154" t="s">
        <v>112</v>
      </c>
      <c r="B789" s="124">
        <v>6</v>
      </c>
      <c r="C789" s="155"/>
      <c r="D789" s="155"/>
      <c r="E789" s="156"/>
      <c r="F789" s="33" t="s">
        <v>68</v>
      </c>
    </row>
    <row r="790" spans="1:7" ht="12.75" customHeight="1" x14ac:dyDescent="0.6">
      <c r="A790" s="154" t="s">
        <v>112</v>
      </c>
      <c r="B790" s="124">
        <v>6</v>
      </c>
      <c r="C790" s="155"/>
      <c r="D790" s="155"/>
      <c r="E790" s="156"/>
      <c r="F790" s="33" t="s">
        <v>68</v>
      </c>
    </row>
    <row r="791" spans="1:7" ht="12.75" customHeight="1" x14ac:dyDescent="0.6">
      <c r="A791" s="154" t="s">
        <v>112</v>
      </c>
      <c r="B791" s="124">
        <v>6</v>
      </c>
      <c r="C791" s="155"/>
      <c r="D791" s="155"/>
      <c r="E791" s="156"/>
      <c r="F791" s="33" t="s">
        <v>68</v>
      </c>
    </row>
    <row r="792" spans="1:7" ht="12.75" customHeight="1" x14ac:dyDescent="0.6">
      <c r="A792" s="154" t="s">
        <v>112</v>
      </c>
      <c r="B792" s="124">
        <v>6</v>
      </c>
      <c r="C792" s="155"/>
      <c r="D792" s="155"/>
      <c r="E792" s="156"/>
      <c r="F792" s="33" t="s">
        <v>68</v>
      </c>
    </row>
    <row r="793" spans="1:7" ht="12.75" customHeight="1" x14ac:dyDescent="0.6">
      <c r="A793" s="154" t="s">
        <v>112</v>
      </c>
      <c r="B793" s="124">
        <v>6</v>
      </c>
      <c r="C793" s="155"/>
      <c r="D793" s="155"/>
      <c r="E793" s="156"/>
      <c r="F793" s="33" t="s">
        <v>68</v>
      </c>
    </row>
    <row r="794" spans="1:7" ht="12.75" customHeight="1" x14ac:dyDescent="0.6">
      <c r="A794" s="154" t="s">
        <v>112</v>
      </c>
      <c r="B794" s="124">
        <v>6</v>
      </c>
      <c r="C794" s="155"/>
      <c r="D794" s="155"/>
      <c r="E794" s="156"/>
      <c r="F794" s="23" t="s">
        <v>65</v>
      </c>
      <c r="G794" s="23" t="s">
        <v>65</v>
      </c>
    </row>
    <row r="795" spans="1:7" ht="12.75" customHeight="1" x14ac:dyDescent="0.6">
      <c r="A795" s="154" t="s">
        <v>112</v>
      </c>
      <c r="B795" s="124">
        <v>6</v>
      </c>
      <c r="C795" s="155"/>
      <c r="D795" s="155"/>
      <c r="E795" s="156"/>
      <c r="F795" s="23" t="s">
        <v>65</v>
      </c>
      <c r="G795" s="23" t="s">
        <v>65</v>
      </c>
    </row>
    <row r="796" spans="1:7" ht="12.75" customHeight="1" x14ac:dyDescent="0.6">
      <c r="A796" s="154" t="s">
        <v>112</v>
      </c>
      <c r="B796" s="124">
        <v>6</v>
      </c>
      <c r="C796" s="155"/>
      <c r="D796" s="155"/>
      <c r="E796" s="156"/>
      <c r="F796" s="23" t="s">
        <v>60</v>
      </c>
      <c r="G796" s="23" t="s">
        <v>61</v>
      </c>
    </row>
    <row r="797" spans="1:7" ht="12.75" customHeight="1" x14ac:dyDescent="0.6">
      <c r="A797" s="154" t="s">
        <v>112</v>
      </c>
      <c r="B797" s="124">
        <v>6</v>
      </c>
      <c r="C797" s="155"/>
      <c r="D797" s="155"/>
      <c r="E797" s="156"/>
      <c r="F797" s="23" t="s">
        <v>58</v>
      </c>
      <c r="G797" s="48" t="s">
        <v>76</v>
      </c>
    </row>
    <row r="798" spans="1:7" ht="12.75" customHeight="1" x14ac:dyDescent="0.6">
      <c r="A798" s="154" t="s">
        <v>112</v>
      </c>
      <c r="B798" s="124">
        <v>6</v>
      </c>
      <c r="C798" s="155"/>
      <c r="D798" s="157"/>
      <c r="E798" s="156"/>
      <c r="F798" s="23" t="s">
        <v>69</v>
      </c>
      <c r="G798" s="23" t="s">
        <v>69</v>
      </c>
    </row>
    <row r="799" spans="1:7" ht="12.75" customHeight="1" x14ac:dyDescent="0.6">
      <c r="A799" s="154" t="s">
        <v>112</v>
      </c>
      <c r="B799" s="124">
        <v>6</v>
      </c>
      <c r="C799" s="155"/>
      <c r="D799" s="157"/>
      <c r="E799" s="156"/>
      <c r="F799" s="23" t="s">
        <v>69</v>
      </c>
      <c r="G799" s="23" t="s">
        <v>69</v>
      </c>
    </row>
    <row r="800" spans="1:7" ht="12.75" customHeight="1" x14ac:dyDescent="0.6">
      <c r="A800" s="154" t="s">
        <v>112</v>
      </c>
      <c r="B800" s="124">
        <v>6</v>
      </c>
      <c r="C800" s="155"/>
      <c r="D800" s="155"/>
      <c r="E800" s="156"/>
      <c r="F800" s="23" t="s">
        <v>60</v>
      </c>
      <c r="G800" s="23" t="s">
        <v>70</v>
      </c>
    </row>
    <row r="801" spans="1:7" ht="12.75" customHeight="1" x14ac:dyDescent="0.6">
      <c r="A801" s="154" t="s">
        <v>112</v>
      </c>
      <c r="B801" s="124">
        <v>6</v>
      </c>
      <c r="C801" s="155"/>
      <c r="D801" s="155"/>
      <c r="E801" s="156"/>
      <c r="F801" s="23" t="s">
        <v>60</v>
      </c>
      <c r="G801" s="23" t="s">
        <v>70</v>
      </c>
    </row>
    <row r="802" spans="1:7" ht="12.75" customHeight="1" x14ac:dyDescent="0.6">
      <c r="A802" s="154" t="s">
        <v>112</v>
      </c>
      <c r="B802" s="124">
        <v>6</v>
      </c>
      <c r="C802" s="155"/>
      <c r="D802" s="155"/>
      <c r="E802" s="156"/>
      <c r="F802" s="23" t="s">
        <v>60</v>
      </c>
      <c r="G802" s="23" t="s">
        <v>61</v>
      </c>
    </row>
    <row r="803" spans="1:7" ht="12.75" customHeight="1" x14ac:dyDescent="0.6">
      <c r="A803" s="154" t="s">
        <v>112</v>
      </c>
      <c r="B803" s="124">
        <v>6</v>
      </c>
      <c r="C803" s="155"/>
      <c r="D803" s="155"/>
      <c r="E803" s="156"/>
      <c r="F803" s="23" t="s">
        <v>60</v>
      </c>
      <c r="G803" s="23" t="s">
        <v>70</v>
      </c>
    </row>
    <row r="804" spans="1:7" ht="12.75" customHeight="1" x14ac:dyDescent="0.6">
      <c r="A804" s="154" t="s">
        <v>112</v>
      </c>
      <c r="B804" s="124">
        <v>6</v>
      </c>
      <c r="C804" s="155"/>
      <c r="D804" s="155"/>
      <c r="E804" s="156"/>
      <c r="F804" s="23" t="s">
        <v>60</v>
      </c>
      <c r="G804" s="23" t="s">
        <v>70</v>
      </c>
    </row>
    <row r="805" spans="1:7" ht="12.75" customHeight="1" x14ac:dyDescent="0.6">
      <c r="A805" s="154" t="s">
        <v>112</v>
      </c>
      <c r="B805" s="124">
        <v>6</v>
      </c>
      <c r="C805" s="155"/>
      <c r="D805" s="155"/>
      <c r="E805" s="156"/>
      <c r="F805" s="23" t="s">
        <v>60</v>
      </c>
      <c r="G805" s="23" t="s">
        <v>67</v>
      </c>
    </row>
    <row r="806" spans="1:7" ht="12.75" customHeight="1" x14ac:dyDescent="0.6">
      <c r="A806" s="154" t="s">
        <v>112</v>
      </c>
      <c r="B806" s="124">
        <v>6</v>
      </c>
      <c r="C806" s="155"/>
      <c r="D806" s="155"/>
      <c r="E806" s="156"/>
      <c r="F806" s="33" t="s">
        <v>68</v>
      </c>
    </row>
    <row r="807" spans="1:7" ht="12.75" customHeight="1" x14ac:dyDescent="0.6">
      <c r="A807" s="154" t="s">
        <v>112</v>
      </c>
      <c r="B807" s="124">
        <v>6</v>
      </c>
      <c r="C807" s="155"/>
      <c r="D807" s="161"/>
      <c r="E807" s="156"/>
      <c r="F807" s="23" t="s">
        <v>58</v>
      </c>
      <c r="G807" s="23" t="s">
        <v>59</v>
      </c>
    </row>
    <row r="808" spans="1:7" ht="12.75" customHeight="1" x14ac:dyDescent="0.6">
      <c r="A808" s="154" t="s">
        <v>113</v>
      </c>
      <c r="B808" s="124">
        <v>6</v>
      </c>
      <c r="C808" s="155"/>
      <c r="D808" s="155"/>
      <c r="E808" s="156"/>
      <c r="F808" s="33" t="s">
        <v>68</v>
      </c>
    </row>
    <row r="809" spans="1:7" ht="12.75" customHeight="1" x14ac:dyDescent="0.6">
      <c r="A809" s="154" t="s">
        <v>113</v>
      </c>
      <c r="B809" s="124">
        <v>6</v>
      </c>
      <c r="C809" s="155"/>
      <c r="D809" s="155"/>
      <c r="E809" s="156"/>
      <c r="F809" s="33" t="s">
        <v>68</v>
      </c>
    </row>
    <row r="810" spans="1:7" ht="12.75" customHeight="1" x14ac:dyDescent="0.6">
      <c r="A810" s="154" t="s">
        <v>113</v>
      </c>
      <c r="B810" s="124">
        <v>6</v>
      </c>
      <c r="C810" s="155"/>
      <c r="D810" s="155"/>
      <c r="E810" s="156"/>
      <c r="F810" s="33" t="s">
        <v>68</v>
      </c>
    </row>
    <row r="811" spans="1:7" ht="12.75" customHeight="1" x14ac:dyDescent="0.6">
      <c r="A811" s="154" t="s">
        <v>113</v>
      </c>
      <c r="B811" s="124">
        <v>6</v>
      </c>
      <c r="C811" s="155"/>
      <c r="D811" s="155"/>
      <c r="E811" s="156"/>
      <c r="F811" s="33" t="s">
        <v>68</v>
      </c>
    </row>
    <row r="812" spans="1:7" ht="12.75" customHeight="1" x14ac:dyDescent="0.6">
      <c r="A812" s="154" t="s">
        <v>113</v>
      </c>
      <c r="B812" s="124">
        <v>6</v>
      </c>
      <c r="C812" s="155"/>
      <c r="D812" s="155"/>
      <c r="E812" s="156"/>
      <c r="F812" s="33" t="s">
        <v>68</v>
      </c>
    </row>
    <row r="813" spans="1:7" ht="12.75" customHeight="1" x14ac:dyDescent="0.6">
      <c r="A813" s="154" t="s">
        <v>113</v>
      </c>
      <c r="B813" s="124">
        <v>6</v>
      </c>
      <c r="C813" s="155"/>
      <c r="D813" s="157"/>
      <c r="E813" s="156"/>
      <c r="F813" s="23" t="s">
        <v>69</v>
      </c>
      <c r="G813" s="23" t="s">
        <v>69</v>
      </c>
    </row>
    <row r="814" spans="1:7" ht="12.75" customHeight="1" x14ac:dyDescent="0.6">
      <c r="A814" s="154" t="s">
        <v>113</v>
      </c>
      <c r="B814" s="124">
        <v>6</v>
      </c>
      <c r="C814" s="155"/>
      <c r="D814" s="157"/>
      <c r="E814" s="156"/>
      <c r="F814" s="23" t="s">
        <v>69</v>
      </c>
      <c r="G814" s="23" t="s">
        <v>69</v>
      </c>
    </row>
    <row r="815" spans="1:7" ht="12.75" customHeight="1" x14ac:dyDescent="0.6">
      <c r="A815" s="154" t="s">
        <v>113</v>
      </c>
      <c r="B815" s="124">
        <v>6</v>
      </c>
      <c r="C815" s="155"/>
      <c r="D815" s="155"/>
      <c r="E815" s="156"/>
      <c r="F815" s="33" t="s">
        <v>68</v>
      </c>
    </row>
    <row r="816" spans="1:7" ht="12.75" customHeight="1" x14ac:dyDescent="0.6">
      <c r="A816" s="154" t="s">
        <v>113</v>
      </c>
      <c r="B816" s="124">
        <v>6</v>
      </c>
      <c r="C816" s="155"/>
      <c r="D816" s="161"/>
      <c r="E816" s="156"/>
      <c r="F816" s="27" t="s">
        <v>63</v>
      </c>
      <c r="G816" s="23" t="s">
        <v>110</v>
      </c>
    </row>
    <row r="817" spans="1:7" ht="12.75" customHeight="1" x14ac:dyDescent="0.6">
      <c r="A817" s="154" t="s">
        <v>114</v>
      </c>
      <c r="B817" s="124">
        <v>6</v>
      </c>
      <c r="C817" s="155"/>
      <c r="D817" s="155"/>
      <c r="E817" s="156"/>
      <c r="F817" s="33" t="s">
        <v>68</v>
      </c>
    </row>
    <row r="818" spans="1:7" ht="12.75" customHeight="1" x14ac:dyDescent="0.6">
      <c r="A818" s="154" t="s">
        <v>114</v>
      </c>
      <c r="B818" s="124">
        <v>6</v>
      </c>
      <c r="C818" s="155"/>
      <c r="D818" s="155"/>
      <c r="E818" s="156"/>
      <c r="F818" s="33" t="s">
        <v>68</v>
      </c>
    </row>
    <row r="819" spans="1:7" ht="12.75" customHeight="1" x14ac:dyDescent="0.6">
      <c r="A819" s="154" t="s">
        <v>114</v>
      </c>
      <c r="B819" s="124">
        <v>6</v>
      </c>
      <c r="C819" s="155"/>
      <c r="D819" s="155"/>
      <c r="E819" s="156"/>
      <c r="F819" s="33" t="s">
        <v>68</v>
      </c>
    </row>
    <row r="820" spans="1:7" ht="12.75" customHeight="1" x14ac:dyDescent="0.6">
      <c r="A820" s="154" t="s">
        <v>114</v>
      </c>
      <c r="B820" s="124">
        <v>6</v>
      </c>
      <c r="C820" s="155"/>
      <c r="D820" s="155"/>
      <c r="E820" s="156"/>
      <c r="F820" s="33" t="s">
        <v>68</v>
      </c>
    </row>
    <row r="821" spans="1:7" ht="12.75" customHeight="1" x14ac:dyDescent="0.6">
      <c r="A821" s="154" t="s">
        <v>114</v>
      </c>
      <c r="B821" s="124">
        <v>6</v>
      </c>
      <c r="C821" s="155"/>
      <c r="D821" s="155"/>
      <c r="E821" s="156"/>
      <c r="F821" s="33" t="s">
        <v>68</v>
      </c>
    </row>
    <row r="822" spans="1:7" ht="12.75" customHeight="1" x14ac:dyDescent="0.6">
      <c r="A822" s="154" t="s">
        <v>114</v>
      </c>
      <c r="B822" s="124">
        <v>6</v>
      </c>
      <c r="C822" s="155"/>
      <c r="D822" s="155"/>
      <c r="E822" s="156"/>
      <c r="F822" s="33" t="s">
        <v>68</v>
      </c>
    </row>
    <row r="823" spans="1:7" ht="12.75" customHeight="1" x14ac:dyDescent="0.6">
      <c r="A823" s="154" t="s">
        <v>114</v>
      </c>
      <c r="B823" s="124">
        <v>6</v>
      </c>
      <c r="C823" s="155"/>
      <c r="D823" s="157"/>
      <c r="E823" s="156"/>
      <c r="F823" s="23" t="s">
        <v>69</v>
      </c>
      <c r="G823" s="23" t="s">
        <v>69</v>
      </c>
    </row>
    <row r="824" spans="1:7" ht="12.75" customHeight="1" x14ac:dyDescent="0.6">
      <c r="A824" s="154" t="s">
        <v>114</v>
      </c>
      <c r="B824" s="124">
        <v>6</v>
      </c>
      <c r="C824" s="155"/>
      <c r="D824" s="157"/>
      <c r="E824" s="156"/>
      <c r="F824" s="23" t="s">
        <v>69</v>
      </c>
      <c r="G824" s="23" t="s">
        <v>69</v>
      </c>
    </row>
    <row r="825" spans="1:7" ht="12.75" customHeight="1" x14ac:dyDescent="0.6">
      <c r="A825" s="154" t="s">
        <v>114</v>
      </c>
      <c r="B825" s="124">
        <v>6</v>
      </c>
      <c r="C825" s="155"/>
      <c r="D825" s="157"/>
      <c r="E825" s="156"/>
      <c r="F825" s="23" t="s">
        <v>69</v>
      </c>
      <c r="G825" s="23" t="s">
        <v>69</v>
      </c>
    </row>
    <row r="826" spans="1:7" ht="12.75" customHeight="1" x14ac:dyDescent="0.6">
      <c r="A826" s="154" t="s">
        <v>114</v>
      </c>
      <c r="B826" s="124">
        <v>6</v>
      </c>
      <c r="C826" s="155"/>
      <c r="D826" s="157"/>
      <c r="E826" s="156"/>
      <c r="F826" s="23" t="s">
        <v>69</v>
      </c>
      <c r="G826" s="23" t="s">
        <v>69</v>
      </c>
    </row>
    <row r="827" spans="1:7" ht="12.75" customHeight="1" x14ac:dyDescent="0.6">
      <c r="A827" s="154" t="s">
        <v>115</v>
      </c>
      <c r="B827" s="124">
        <v>6</v>
      </c>
      <c r="C827" s="155"/>
      <c r="D827" s="155"/>
      <c r="E827" s="156"/>
      <c r="F827" s="33" t="s">
        <v>68</v>
      </c>
    </row>
    <row r="828" spans="1:7" ht="12.75" customHeight="1" x14ac:dyDescent="0.6">
      <c r="A828" s="154" t="s">
        <v>115</v>
      </c>
      <c r="B828" s="124">
        <v>6</v>
      </c>
      <c r="C828" s="155"/>
      <c r="D828" s="155"/>
      <c r="E828" s="156"/>
      <c r="F828" s="33" t="s">
        <v>68</v>
      </c>
    </row>
    <row r="829" spans="1:7" ht="12.75" customHeight="1" x14ac:dyDescent="0.6">
      <c r="A829" s="154" t="s">
        <v>115</v>
      </c>
      <c r="B829" s="124">
        <v>6</v>
      </c>
      <c r="C829" s="155"/>
      <c r="D829" s="155"/>
      <c r="E829" s="156"/>
      <c r="F829" s="33" t="s">
        <v>68</v>
      </c>
    </row>
    <row r="830" spans="1:7" ht="12.75" customHeight="1" x14ac:dyDescent="0.6">
      <c r="A830" s="154" t="s">
        <v>115</v>
      </c>
      <c r="B830" s="124">
        <v>6</v>
      </c>
      <c r="C830" s="155"/>
      <c r="D830" s="155"/>
      <c r="E830" s="156"/>
      <c r="F830" s="33" t="s">
        <v>68</v>
      </c>
    </row>
    <row r="831" spans="1:7" ht="12.75" customHeight="1" x14ac:dyDescent="0.6">
      <c r="A831" s="154" t="s">
        <v>115</v>
      </c>
      <c r="B831" s="124">
        <v>6</v>
      </c>
      <c r="C831" s="155"/>
      <c r="D831" s="155"/>
      <c r="E831" s="156"/>
      <c r="F831" s="33" t="s">
        <v>68</v>
      </c>
    </row>
    <row r="832" spans="1:7" ht="12.75" customHeight="1" x14ac:dyDescent="0.6">
      <c r="A832" s="154" t="s">
        <v>115</v>
      </c>
      <c r="B832" s="124">
        <v>6</v>
      </c>
      <c r="C832" s="155"/>
      <c r="D832" s="155"/>
      <c r="E832" s="156"/>
      <c r="F832" s="23" t="s">
        <v>60</v>
      </c>
      <c r="G832" s="23" t="s">
        <v>67</v>
      </c>
    </row>
    <row r="833" spans="1:7" ht="12.75" customHeight="1" x14ac:dyDescent="0.6">
      <c r="A833" s="154" t="s">
        <v>115</v>
      </c>
      <c r="B833" s="124">
        <v>6</v>
      </c>
      <c r="C833" s="155"/>
      <c r="D833" s="155"/>
      <c r="E833" s="156"/>
      <c r="F833" s="23" t="s">
        <v>58</v>
      </c>
      <c r="G833" s="58" t="s">
        <v>79</v>
      </c>
    </row>
    <row r="834" spans="1:7" ht="12.75" customHeight="1" x14ac:dyDescent="0.6">
      <c r="A834" s="154" t="s">
        <v>115</v>
      </c>
      <c r="B834" s="124">
        <v>6</v>
      </c>
      <c r="C834" s="155"/>
      <c r="D834" s="157"/>
      <c r="E834" s="156"/>
      <c r="F834" s="23" t="s">
        <v>69</v>
      </c>
      <c r="G834" s="23" t="s">
        <v>69</v>
      </c>
    </row>
    <row r="835" spans="1:7" ht="12.75" customHeight="1" x14ac:dyDescent="0.6">
      <c r="A835" s="154" t="s">
        <v>115</v>
      </c>
      <c r="B835" s="124">
        <v>6</v>
      </c>
      <c r="C835" s="155"/>
      <c r="D835" s="157"/>
      <c r="E835" s="156"/>
      <c r="F835" s="23" t="s">
        <v>69</v>
      </c>
      <c r="G835" s="23" t="s">
        <v>69</v>
      </c>
    </row>
    <row r="836" spans="1:7" ht="12.75" customHeight="1" x14ac:dyDescent="0.6">
      <c r="A836" s="154" t="s">
        <v>115</v>
      </c>
      <c r="B836" s="124">
        <v>6</v>
      </c>
      <c r="C836" s="155"/>
      <c r="D836" s="155"/>
      <c r="E836" s="156"/>
      <c r="F836" s="23" t="s">
        <v>65</v>
      </c>
      <c r="G836" s="23" t="s">
        <v>65</v>
      </c>
    </row>
    <row r="837" spans="1:7" ht="12.75" customHeight="1" x14ac:dyDescent="0.6">
      <c r="A837" s="154" t="s">
        <v>115</v>
      </c>
      <c r="B837" s="124">
        <v>6</v>
      </c>
      <c r="C837" s="155"/>
      <c r="D837" s="155"/>
      <c r="E837" s="156"/>
      <c r="F837" s="23" t="s">
        <v>58</v>
      </c>
      <c r="G837" s="23" t="s">
        <v>67</v>
      </c>
    </row>
    <row r="838" spans="1:7" ht="12.75" customHeight="1" x14ac:dyDescent="0.6">
      <c r="A838" s="154" t="s">
        <v>115</v>
      </c>
      <c r="B838" s="124">
        <v>6</v>
      </c>
      <c r="C838" s="155"/>
      <c r="D838" s="155"/>
      <c r="E838" s="156"/>
      <c r="F838" s="23" t="s">
        <v>58</v>
      </c>
      <c r="G838" s="48" t="s">
        <v>76</v>
      </c>
    </row>
    <row r="839" spans="1:7" ht="12.75" customHeight="1" x14ac:dyDescent="0.6">
      <c r="A839" s="154" t="s">
        <v>115</v>
      </c>
      <c r="B839" s="124">
        <v>6</v>
      </c>
      <c r="C839" s="155"/>
      <c r="D839" s="155"/>
      <c r="E839" s="156"/>
      <c r="F839" s="23" t="s">
        <v>58</v>
      </c>
      <c r="G839" s="23" t="s">
        <v>44</v>
      </c>
    </row>
    <row r="840" spans="1:7" ht="12.75" customHeight="1" x14ac:dyDescent="0.6">
      <c r="A840" s="154" t="s">
        <v>115</v>
      </c>
      <c r="B840" s="124">
        <v>6</v>
      </c>
      <c r="C840" s="155"/>
      <c r="D840" s="155"/>
      <c r="E840" s="156"/>
      <c r="F840" s="23" t="s">
        <v>58</v>
      </c>
      <c r="G840" s="23" t="s">
        <v>75</v>
      </c>
    </row>
    <row r="841" spans="1:7" ht="12.75" customHeight="1" x14ac:dyDescent="0.6">
      <c r="A841" s="154" t="s">
        <v>115</v>
      </c>
      <c r="B841" s="124">
        <v>6</v>
      </c>
      <c r="C841" s="155"/>
      <c r="D841" s="155"/>
      <c r="E841" s="156"/>
      <c r="F841" s="23" t="s">
        <v>58</v>
      </c>
      <c r="G841" s="23" t="s">
        <v>72</v>
      </c>
    </row>
    <row r="842" spans="1:7" ht="12.75" customHeight="1" x14ac:dyDescent="0.6">
      <c r="A842" s="154" t="s">
        <v>115</v>
      </c>
      <c r="B842" s="124">
        <v>6</v>
      </c>
      <c r="C842" s="155"/>
      <c r="D842" s="155"/>
      <c r="E842" s="156"/>
      <c r="F842" s="23" t="s">
        <v>60</v>
      </c>
      <c r="G842" s="23" t="s">
        <v>67</v>
      </c>
    </row>
    <row r="843" spans="1:7" ht="12.75" customHeight="1" x14ac:dyDescent="0.6">
      <c r="A843" s="154" t="s">
        <v>115</v>
      </c>
      <c r="B843" s="124">
        <v>6</v>
      </c>
      <c r="C843" s="155"/>
      <c r="D843" s="155"/>
      <c r="E843" s="156"/>
      <c r="F843" s="23" t="s">
        <v>60</v>
      </c>
      <c r="G843" s="23" t="s">
        <v>61</v>
      </c>
    </row>
    <row r="844" spans="1:7" ht="12.75" customHeight="1" x14ac:dyDescent="0.6">
      <c r="A844" s="154" t="s">
        <v>115</v>
      </c>
      <c r="B844" s="124">
        <v>6</v>
      </c>
      <c r="C844" s="155"/>
      <c r="D844" s="155"/>
      <c r="E844" s="156"/>
      <c r="F844" s="23" t="s">
        <v>60</v>
      </c>
      <c r="G844" s="23" t="s">
        <v>67</v>
      </c>
    </row>
    <row r="845" spans="1:7" ht="12.75" customHeight="1" x14ac:dyDescent="0.6">
      <c r="A845" s="154" t="s">
        <v>115</v>
      </c>
      <c r="B845" s="124">
        <v>6</v>
      </c>
      <c r="C845" s="155"/>
      <c r="D845" s="155"/>
      <c r="E845" s="156"/>
      <c r="F845" s="23" t="s">
        <v>60</v>
      </c>
      <c r="G845" s="23" t="s">
        <v>67</v>
      </c>
    </row>
    <row r="846" spans="1:7" ht="12.75" customHeight="1" x14ac:dyDescent="0.6">
      <c r="A846" s="154" t="s">
        <v>115</v>
      </c>
      <c r="B846" s="124">
        <v>6</v>
      </c>
      <c r="C846" s="155"/>
      <c r="D846" s="155"/>
      <c r="E846" s="156"/>
      <c r="F846" s="23" t="s">
        <v>60</v>
      </c>
      <c r="G846" s="23" t="s">
        <v>61</v>
      </c>
    </row>
    <row r="847" spans="1:7" ht="12.75" customHeight="1" x14ac:dyDescent="0.6">
      <c r="A847" s="154" t="s">
        <v>115</v>
      </c>
      <c r="B847" s="124">
        <v>6</v>
      </c>
      <c r="C847" s="155"/>
      <c r="D847" s="155"/>
      <c r="E847" s="156"/>
      <c r="F847" s="23" t="s">
        <v>60</v>
      </c>
      <c r="G847" s="23" t="s">
        <v>67</v>
      </c>
    </row>
    <row r="848" spans="1:7" ht="12.75" customHeight="1" x14ac:dyDescent="0.6">
      <c r="A848" s="154" t="s">
        <v>115</v>
      </c>
      <c r="B848" s="124">
        <v>6</v>
      </c>
      <c r="C848" s="155"/>
      <c r="D848" s="155"/>
      <c r="E848" s="156"/>
      <c r="F848" s="23" t="s">
        <v>60</v>
      </c>
      <c r="G848" s="23" t="s">
        <v>77</v>
      </c>
    </row>
    <row r="849" spans="1:8" ht="12.75" customHeight="1" x14ac:dyDescent="0.6">
      <c r="A849" s="154" t="s">
        <v>115</v>
      </c>
      <c r="B849" s="124">
        <v>6</v>
      </c>
      <c r="C849" s="155"/>
      <c r="D849" s="155"/>
      <c r="E849" s="156"/>
      <c r="F849" s="23" t="s">
        <v>66</v>
      </c>
      <c r="G849" s="23" t="s">
        <v>66</v>
      </c>
    </row>
    <row r="850" spans="1:8" ht="12.75" customHeight="1" x14ac:dyDescent="0.6">
      <c r="A850" s="154" t="s">
        <v>115</v>
      </c>
      <c r="B850" s="124">
        <v>6</v>
      </c>
      <c r="C850" s="155"/>
      <c r="D850" s="160"/>
      <c r="E850" s="156"/>
      <c r="F850" s="27" t="s">
        <v>63</v>
      </c>
      <c r="G850" s="23" t="s">
        <v>116</v>
      </c>
    </row>
    <row r="851" spans="1:8" ht="12.75" customHeight="1" x14ac:dyDescent="0.6">
      <c r="A851" s="154" t="s">
        <v>115</v>
      </c>
      <c r="B851" s="124">
        <v>6</v>
      </c>
      <c r="C851" s="155"/>
      <c r="D851" s="160"/>
      <c r="E851" s="156"/>
      <c r="F851" s="27" t="s">
        <v>63</v>
      </c>
      <c r="G851" s="23" t="s">
        <v>116</v>
      </c>
    </row>
    <row r="852" spans="1:8" ht="12.75" customHeight="1" x14ac:dyDescent="0.6">
      <c r="A852" s="154" t="s">
        <v>115</v>
      </c>
      <c r="B852" s="124">
        <v>6</v>
      </c>
      <c r="C852" s="155"/>
      <c r="D852" s="160"/>
      <c r="E852" s="156"/>
      <c r="F852" s="27" t="s">
        <v>63</v>
      </c>
      <c r="G852" s="23" t="s">
        <v>116</v>
      </c>
    </row>
    <row r="853" spans="1:8" ht="12.75" customHeight="1" x14ac:dyDescent="0.6">
      <c r="A853" s="154" t="s">
        <v>115</v>
      </c>
      <c r="B853" s="124">
        <v>6</v>
      </c>
      <c r="C853" s="155"/>
      <c r="D853" s="160"/>
      <c r="E853" s="156"/>
      <c r="F853" s="27" t="s">
        <v>63</v>
      </c>
      <c r="G853" s="23" t="s">
        <v>116</v>
      </c>
    </row>
    <row r="854" spans="1:8" ht="12.75" customHeight="1" x14ac:dyDescent="0.6">
      <c r="A854" s="154" t="s">
        <v>115</v>
      </c>
      <c r="B854" s="124">
        <v>6</v>
      </c>
      <c r="C854" s="155"/>
      <c r="D854" s="160"/>
      <c r="E854" s="156"/>
      <c r="F854" s="27" t="s">
        <v>63</v>
      </c>
      <c r="G854" s="23" t="s">
        <v>116</v>
      </c>
    </row>
    <row r="855" spans="1:8" ht="12.75" customHeight="1" x14ac:dyDescent="0.6">
      <c r="A855" s="154" t="s">
        <v>115</v>
      </c>
      <c r="B855" s="124">
        <v>6</v>
      </c>
      <c r="C855" s="155"/>
      <c r="D855" s="155"/>
      <c r="E855" s="156"/>
      <c r="F855" s="23" t="s">
        <v>60</v>
      </c>
      <c r="G855" s="23" t="s">
        <v>61</v>
      </c>
    </row>
    <row r="856" spans="1:8" ht="12.75" customHeight="1" x14ac:dyDescent="0.6">
      <c r="A856" s="154" t="s">
        <v>115</v>
      </c>
      <c r="B856" s="124">
        <v>6</v>
      </c>
      <c r="C856" s="155"/>
      <c r="D856" s="155"/>
      <c r="E856" s="156"/>
      <c r="F856" s="23" t="s">
        <v>60</v>
      </c>
      <c r="G856" s="23" t="s">
        <v>73</v>
      </c>
    </row>
    <row r="857" spans="1:8" ht="12.75" customHeight="1" x14ac:dyDescent="0.6">
      <c r="A857" s="154" t="s">
        <v>115</v>
      </c>
      <c r="B857" s="124">
        <v>6</v>
      </c>
      <c r="C857" s="155"/>
      <c r="D857" s="155"/>
      <c r="E857" s="156"/>
      <c r="F857" s="23" t="s">
        <v>60</v>
      </c>
      <c r="G857" s="23" t="s">
        <v>73</v>
      </c>
    </row>
    <row r="858" spans="1:8" ht="12.75" customHeight="1" x14ac:dyDescent="0.6">
      <c r="A858" s="154" t="s">
        <v>115</v>
      </c>
      <c r="B858" s="124">
        <v>6</v>
      </c>
      <c r="C858" s="161"/>
      <c r="D858" s="155"/>
      <c r="E858" s="156"/>
      <c r="F858" s="33" t="s">
        <v>64</v>
      </c>
      <c r="G858" s="23" t="s">
        <v>69</v>
      </c>
      <c r="H858" s="23" t="s">
        <v>117</v>
      </c>
    </row>
    <row r="859" spans="1:8" ht="12.75" customHeight="1" x14ac:dyDescent="0.6">
      <c r="A859" s="154" t="s">
        <v>115</v>
      </c>
      <c r="B859" s="124">
        <v>6</v>
      </c>
      <c r="C859" s="155"/>
      <c r="D859" s="155"/>
      <c r="E859" s="156"/>
      <c r="F859" s="33" t="s">
        <v>68</v>
      </c>
    </row>
    <row r="860" spans="1:8" ht="12.75" customHeight="1" x14ac:dyDescent="0.6">
      <c r="A860" s="154" t="s">
        <v>115</v>
      </c>
      <c r="B860" s="124">
        <v>6</v>
      </c>
      <c r="C860" s="155"/>
      <c r="D860" s="161"/>
      <c r="E860" s="156"/>
      <c r="F860" s="27" t="s">
        <v>63</v>
      </c>
      <c r="G860" s="23" t="s">
        <v>110</v>
      </c>
    </row>
    <row r="861" spans="1:8" x14ac:dyDescent="0.6">
      <c r="A861" s="163" t="s">
        <v>118</v>
      </c>
      <c r="B861" s="156">
        <v>7</v>
      </c>
      <c r="C861" s="164"/>
      <c r="D861" s="165"/>
      <c r="E861" s="156"/>
      <c r="F861" s="33" t="s">
        <v>68</v>
      </c>
    </row>
    <row r="862" spans="1:8" x14ac:dyDescent="0.6">
      <c r="A862" s="163" t="s">
        <v>118</v>
      </c>
      <c r="B862" s="156">
        <v>7</v>
      </c>
      <c r="C862" s="164"/>
      <c r="D862" s="165"/>
      <c r="E862" s="156"/>
      <c r="F862" s="33" t="s">
        <v>68</v>
      </c>
    </row>
    <row r="863" spans="1:8" x14ac:dyDescent="0.6">
      <c r="A863" s="163" t="s">
        <v>118</v>
      </c>
      <c r="B863" s="156">
        <v>7</v>
      </c>
      <c r="C863" s="155"/>
      <c r="D863" s="165"/>
      <c r="E863" s="156"/>
      <c r="F863" s="27" t="s">
        <v>63</v>
      </c>
      <c r="G863" s="23" t="s">
        <v>116</v>
      </c>
    </row>
    <row r="864" spans="1:8" x14ac:dyDescent="0.6">
      <c r="A864" s="163" t="s">
        <v>118</v>
      </c>
      <c r="B864" s="156">
        <v>7</v>
      </c>
      <c r="C864" s="155"/>
      <c r="D864" s="165"/>
      <c r="E864" s="156"/>
      <c r="F864" s="23" t="s">
        <v>69</v>
      </c>
      <c r="G864" s="23" t="s">
        <v>69</v>
      </c>
    </row>
    <row r="865" spans="1:7" x14ac:dyDescent="0.6">
      <c r="A865" s="163" t="s">
        <v>118</v>
      </c>
      <c r="B865" s="156">
        <v>7</v>
      </c>
      <c r="C865" s="155"/>
      <c r="D865" s="165"/>
      <c r="E865" s="156"/>
      <c r="F865" s="23" t="s">
        <v>58</v>
      </c>
      <c r="G865" s="23" t="s">
        <v>59</v>
      </c>
    </row>
    <row r="866" spans="1:7" x14ac:dyDescent="0.6">
      <c r="A866" s="163" t="s">
        <v>118</v>
      </c>
      <c r="B866" s="156">
        <v>7</v>
      </c>
      <c r="C866" s="155"/>
      <c r="D866" s="165"/>
      <c r="E866" s="156"/>
      <c r="F866" s="23" t="s">
        <v>58</v>
      </c>
      <c r="G866" s="23" t="s">
        <v>59</v>
      </c>
    </row>
    <row r="867" spans="1:7" x14ac:dyDescent="0.6">
      <c r="A867" s="163" t="s">
        <v>119</v>
      </c>
      <c r="B867" s="156">
        <v>7</v>
      </c>
      <c r="C867" s="164"/>
      <c r="D867" s="165"/>
      <c r="E867" s="156"/>
      <c r="F867" s="33" t="s">
        <v>68</v>
      </c>
    </row>
    <row r="868" spans="1:7" x14ac:dyDescent="0.6">
      <c r="A868" s="163" t="s">
        <v>119</v>
      </c>
      <c r="B868" s="156">
        <v>7</v>
      </c>
      <c r="C868" s="155"/>
      <c r="D868" s="165"/>
      <c r="E868" s="156"/>
      <c r="F868" s="23" t="s">
        <v>58</v>
      </c>
      <c r="G868" s="23" t="s">
        <v>59</v>
      </c>
    </row>
    <row r="869" spans="1:7" x14ac:dyDescent="0.6">
      <c r="A869" s="163" t="s">
        <v>119</v>
      </c>
      <c r="B869" s="156">
        <v>7</v>
      </c>
      <c r="C869" s="155"/>
      <c r="D869" s="165"/>
      <c r="E869" s="156"/>
      <c r="F869" s="23" t="s">
        <v>60</v>
      </c>
      <c r="G869" s="23" t="s">
        <v>61</v>
      </c>
    </row>
    <row r="870" spans="1:7" x14ac:dyDescent="0.6">
      <c r="A870" s="163" t="s">
        <v>119</v>
      </c>
      <c r="B870" s="156">
        <v>7</v>
      </c>
      <c r="C870" s="155"/>
      <c r="D870" s="165"/>
      <c r="E870" s="156"/>
      <c r="F870" s="23" t="s">
        <v>65</v>
      </c>
    </row>
    <row r="871" spans="1:7" x14ac:dyDescent="0.6">
      <c r="A871" s="163" t="s">
        <v>120</v>
      </c>
      <c r="B871" s="156">
        <v>7</v>
      </c>
      <c r="C871" s="155"/>
      <c r="D871" s="165"/>
      <c r="E871" s="156"/>
      <c r="F871" s="27" t="s">
        <v>63</v>
      </c>
      <c r="G871" s="23" t="s">
        <v>110</v>
      </c>
    </row>
    <row r="872" spans="1:7" x14ac:dyDescent="0.6">
      <c r="A872" s="163" t="s">
        <v>120</v>
      </c>
      <c r="B872" s="156">
        <v>7</v>
      </c>
      <c r="C872" s="155"/>
      <c r="D872" s="165"/>
      <c r="E872" s="156"/>
      <c r="F872" s="27" t="s">
        <v>63</v>
      </c>
      <c r="G872" s="23" t="s">
        <v>110</v>
      </c>
    </row>
    <row r="873" spans="1:7" x14ac:dyDescent="0.6">
      <c r="A873" s="163" t="s">
        <v>121</v>
      </c>
      <c r="B873" s="156">
        <v>7</v>
      </c>
      <c r="C873" s="164"/>
      <c r="D873" s="165"/>
      <c r="E873" s="156"/>
      <c r="F873" s="33" t="s">
        <v>68</v>
      </c>
    </row>
    <row r="874" spans="1:7" x14ac:dyDescent="0.6">
      <c r="A874" s="163" t="s">
        <v>121</v>
      </c>
      <c r="B874" s="156">
        <v>7</v>
      </c>
      <c r="C874" s="155"/>
      <c r="D874" s="165"/>
      <c r="E874" s="156"/>
      <c r="F874" s="23" t="s">
        <v>69</v>
      </c>
      <c r="G874" s="23" t="s">
        <v>69</v>
      </c>
    </row>
    <row r="875" spans="1:7" x14ac:dyDescent="0.6">
      <c r="A875" s="163" t="s">
        <v>122</v>
      </c>
      <c r="B875" s="156">
        <v>7</v>
      </c>
      <c r="C875" s="155"/>
      <c r="D875" s="165"/>
      <c r="E875" s="156"/>
      <c r="F875" s="33" t="s">
        <v>64</v>
      </c>
    </row>
    <row r="876" spans="1:7" x14ac:dyDescent="0.6">
      <c r="A876" s="163" t="s">
        <v>122</v>
      </c>
      <c r="B876" s="156">
        <v>7</v>
      </c>
      <c r="C876" s="155"/>
      <c r="D876" s="165"/>
      <c r="E876" s="156"/>
      <c r="F876" s="23" t="s">
        <v>69</v>
      </c>
      <c r="G876" s="23" t="s">
        <v>69</v>
      </c>
    </row>
    <row r="877" spans="1:7" x14ac:dyDescent="0.6">
      <c r="A877" s="163" t="s">
        <v>122</v>
      </c>
      <c r="B877" s="156">
        <v>7</v>
      </c>
      <c r="C877" s="155"/>
      <c r="D877" s="165"/>
      <c r="E877" s="156"/>
      <c r="F877" s="23" t="s">
        <v>69</v>
      </c>
      <c r="G877" s="23" t="s">
        <v>69</v>
      </c>
    </row>
    <row r="878" spans="1:7" x14ac:dyDescent="0.6">
      <c r="A878" s="163" t="s">
        <v>122</v>
      </c>
      <c r="B878" s="156">
        <v>7</v>
      </c>
      <c r="C878" s="155"/>
      <c r="D878" s="165"/>
      <c r="E878" s="156"/>
      <c r="F878" s="23" t="s">
        <v>69</v>
      </c>
      <c r="G878" s="23" t="s">
        <v>69</v>
      </c>
    </row>
    <row r="879" spans="1:7" x14ac:dyDescent="0.6">
      <c r="A879" s="163" t="s">
        <v>122</v>
      </c>
      <c r="B879" s="156">
        <v>7</v>
      </c>
      <c r="C879" s="155"/>
      <c r="D879" s="165"/>
      <c r="E879" s="156"/>
      <c r="F879" s="23" t="s">
        <v>69</v>
      </c>
      <c r="G879" s="23" t="s">
        <v>69</v>
      </c>
    </row>
    <row r="880" spans="1:7" x14ac:dyDescent="0.6">
      <c r="A880" s="163" t="s">
        <v>122</v>
      </c>
      <c r="B880" s="156">
        <v>7</v>
      </c>
      <c r="C880" s="155"/>
      <c r="D880" s="165"/>
      <c r="E880" s="156"/>
      <c r="F880" s="23" t="s">
        <v>69</v>
      </c>
      <c r="G880" s="23" t="s">
        <v>69</v>
      </c>
    </row>
    <row r="881" spans="1:7" x14ac:dyDescent="0.6">
      <c r="A881" s="163" t="s">
        <v>123</v>
      </c>
      <c r="B881" s="156">
        <v>7</v>
      </c>
      <c r="C881" s="164"/>
      <c r="D881" s="165"/>
      <c r="E881" s="156"/>
      <c r="F881" s="33" t="s">
        <v>68</v>
      </c>
    </row>
    <row r="882" spans="1:7" x14ac:dyDescent="0.6">
      <c r="A882" s="163" t="s">
        <v>123</v>
      </c>
      <c r="B882" s="156">
        <v>7</v>
      </c>
      <c r="C882" s="164"/>
      <c r="D882" s="165"/>
      <c r="E882" s="156"/>
      <c r="F882" s="33" t="s">
        <v>68</v>
      </c>
    </row>
    <row r="883" spans="1:7" x14ac:dyDescent="0.6">
      <c r="A883" s="163" t="s">
        <v>123</v>
      </c>
      <c r="B883" s="156">
        <v>7</v>
      </c>
      <c r="C883" s="155"/>
      <c r="D883" s="165"/>
      <c r="E883" s="156"/>
      <c r="F883" s="27" t="s">
        <v>63</v>
      </c>
      <c r="G883" s="23" t="s">
        <v>116</v>
      </c>
    </row>
    <row r="884" spans="1:7" x14ac:dyDescent="0.6">
      <c r="A884" s="163" t="s">
        <v>123</v>
      </c>
      <c r="B884" s="156">
        <v>7</v>
      </c>
      <c r="C884" s="155"/>
      <c r="D884" s="165"/>
      <c r="E884" s="156"/>
      <c r="F884" s="33" t="s">
        <v>64</v>
      </c>
    </row>
    <row r="885" spans="1:7" x14ac:dyDescent="0.6">
      <c r="A885" s="163" t="s">
        <v>124</v>
      </c>
      <c r="B885" s="156">
        <v>7</v>
      </c>
      <c r="C885" s="155"/>
      <c r="D885" s="165"/>
      <c r="E885" s="156"/>
      <c r="F885" s="23" t="s">
        <v>58</v>
      </c>
      <c r="G885" s="23" t="s">
        <v>59</v>
      </c>
    </row>
    <row r="886" spans="1:7" x14ac:dyDescent="0.6">
      <c r="A886" s="163" t="s">
        <v>124</v>
      </c>
      <c r="B886" s="156">
        <v>7</v>
      </c>
      <c r="C886" s="164"/>
      <c r="D886" s="165"/>
      <c r="E886" s="156"/>
      <c r="F886" s="23" t="s">
        <v>68</v>
      </c>
      <c r="G886" s="23" t="s">
        <v>110</v>
      </c>
    </row>
    <row r="887" spans="1:7" x14ac:dyDescent="0.6">
      <c r="A887" s="163" t="s">
        <v>125</v>
      </c>
      <c r="B887" s="156">
        <v>7</v>
      </c>
      <c r="C887" s="155"/>
      <c r="D887" s="165"/>
      <c r="E887" s="156"/>
      <c r="F887" s="23" t="s">
        <v>65</v>
      </c>
    </row>
    <row r="888" spans="1:7" x14ac:dyDescent="0.6">
      <c r="A888" s="163" t="s">
        <v>125</v>
      </c>
      <c r="B888" s="156">
        <v>7</v>
      </c>
      <c r="C888" s="155"/>
      <c r="D888" s="165"/>
      <c r="E888" s="156"/>
      <c r="F888" s="27" t="s">
        <v>63</v>
      </c>
      <c r="G888" s="23" t="s">
        <v>110</v>
      </c>
    </row>
    <row r="889" spans="1:7" x14ac:dyDescent="0.6">
      <c r="A889" s="163" t="s">
        <v>125</v>
      </c>
      <c r="B889" s="156">
        <v>7</v>
      </c>
      <c r="C889" s="155"/>
      <c r="D889" s="165"/>
      <c r="E889" s="156"/>
      <c r="F889" s="23" t="s">
        <v>65</v>
      </c>
    </row>
    <row r="890" spans="1:7" x14ac:dyDescent="0.6">
      <c r="A890" s="163" t="s">
        <v>125</v>
      </c>
      <c r="B890" s="156">
        <v>7</v>
      </c>
      <c r="C890" s="155"/>
      <c r="D890" s="165"/>
      <c r="E890" s="156"/>
      <c r="F890" s="23" t="s">
        <v>65</v>
      </c>
    </row>
    <row r="891" spans="1:7" x14ac:dyDescent="0.6">
      <c r="A891" s="163" t="s">
        <v>125</v>
      </c>
      <c r="B891" s="156">
        <v>7</v>
      </c>
      <c r="C891" s="155"/>
      <c r="D891" s="165"/>
      <c r="E891" s="156"/>
      <c r="F891" s="23" t="s">
        <v>58</v>
      </c>
      <c r="G891" s="23" t="s">
        <v>67</v>
      </c>
    </row>
    <row r="892" spans="1:7" x14ac:dyDescent="0.6">
      <c r="A892" s="163" t="s">
        <v>125</v>
      </c>
      <c r="B892" s="156">
        <v>7</v>
      </c>
      <c r="C892" s="155"/>
      <c r="D892" s="165"/>
      <c r="E892" s="156"/>
      <c r="F892" s="23" t="s">
        <v>65</v>
      </c>
    </row>
    <row r="893" spans="1:7" x14ac:dyDescent="0.6">
      <c r="A893" s="163" t="s">
        <v>125</v>
      </c>
      <c r="B893" s="156">
        <v>7</v>
      </c>
      <c r="C893" s="155"/>
      <c r="D893" s="165"/>
      <c r="E893" s="156"/>
      <c r="F893" s="23" t="s">
        <v>65</v>
      </c>
    </row>
    <row r="894" spans="1:7" x14ac:dyDescent="0.6">
      <c r="A894" s="163" t="s">
        <v>125</v>
      </c>
      <c r="B894" s="156">
        <v>7</v>
      </c>
      <c r="C894" s="155"/>
      <c r="D894" s="165"/>
      <c r="E894" s="156"/>
      <c r="F894" s="27" t="s">
        <v>63</v>
      </c>
      <c r="G894" s="23" t="s">
        <v>110</v>
      </c>
    </row>
    <row r="895" spans="1:7" x14ac:dyDescent="0.6">
      <c r="A895" s="163" t="s">
        <v>125</v>
      </c>
      <c r="B895" s="156">
        <v>7</v>
      </c>
      <c r="C895" s="155"/>
      <c r="D895" s="165"/>
      <c r="E895" s="156"/>
      <c r="F895" s="23" t="s">
        <v>60</v>
      </c>
      <c r="G895" s="23" t="s">
        <v>67</v>
      </c>
    </row>
    <row r="896" spans="1:7" x14ac:dyDescent="0.6">
      <c r="A896" s="163" t="s">
        <v>125</v>
      </c>
      <c r="B896" s="156">
        <v>7</v>
      </c>
      <c r="C896" s="155"/>
      <c r="D896" s="165"/>
      <c r="E896" s="156"/>
      <c r="F896" s="23" t="s">
        <v>60</v>
      </c>
      <c r="G896" s="23" t="s">
        <v>61</v>
      </c>
    </row>
    <row r="897" spans="1:7" x14ac:dyDescent="0.6">
      <c r="A897" s="163" t="s">
        <v>125</v>
      </c>
      <c r="B897" s="156">
        <v>7</v>
      </c>
      <c r="C897" s="155"/>
      <c r="D897" s="165"/>
      <c r="E897" s="156"/>
      <c r="F897" s="23" t="s">
        <v>69</v>
      </c>
      <c r="G897" s="23" t="s">
        <v>69</v>
      </c>
    </row>
    <row r="898" spans="1:7" x14ac:dyDescent="0.6">
      <c r="A898" s="163" t="s">
        <v>125</v>
      </c>
      <c r="B898" s="156">
        <v>7</v>
      </c>
      <c r="C898" s="155"/>
      <c r="D898" s="165"/>
      <c r="E898" s="156"/>
      <c r="F898" s="23" t="s">
        <v>69</v>
      </c>
      <c r="G898" s="23" t="s">
        <v>69</v>
      </c>
    </row>
    <row r="899" spans="1:7" x14ac:dyDescent="0.6">
      <c r="A899" s="163" t="s">
        <v>125</v>
      </c>
      <c r="B899" s="156">
        <v>7</v>
      </c>
      <c r="C899" s="155"/>
      <c r="D899" s="165"/>
      <c r="E899" s="156"/>
      <c r="F899" s="23" t="s">
        <v>69</v>
      </c>
      <c r="G899" s="23" t="s">
        <v>69</v>
      </c>
    </row>
    <row r="900" spans="1:7" x14ac:dyDescent="0.6">
      <c r="A900" s="163" t="s">
        <v>125</v>
      </c>
      <c r="B900" s="156">
        <v>7</v>
      </c>
      <c r="C900" s="155"/>
      <c r="D900" s="165"/>
      <c r="E900" s="156"/>
      <c r="F900" s="27" t="s">
        <v>63</v>
      </c>
      <c r="G900" s="23" t="s">
        <v>110</v>
      </c>
    </row>
    <row r="901" spans="1:7" x14ac:dyDescent="0.6">
      <c r="A901" s="163" t="s">
        <v>126</v>
      </c>
      <c r="B901" s="156">
        <v>7</v>
      </c>
      <c r="C901" s="155"/>
      <c r="D901" s="165"/>
      <c r="E901" s="156"/>
      <c r="F901" s="23" t="s">
        <v>58</v>
      </c>
      <c r="G901" s="23" t="s">
        <v>59</v>
      </c>
    </row>
    <row r="902" spans="1:7" x14ac:dyDescent="0.6">
      <c r="A902" s="163" t="s">
        <v>126</v>
      </c>
      <c r="B902" s="156">
        <v>7</v>
      </c>
      <c r="C902" s="155"/>
      <c r="D902" s="165"/>
      <c r="E902" s="156"/>
      <c r="F902" s="23" t="s">
        <v>58</v>
      </c>
      <c r="G902" s="23" t="s">
        <v>59</v>
      </c>
    </row>
    <row r="903" spans="1:7" x14ac:dyDescent="0.6">
      <c r="A903" s="163" t="s">
        <v>127</v>
      </c>
      <c r="B903" s="156">
        <v>7</v>
      </c>
      <c r="C903" s="164"/>
      <c r="D903" s="165"/>
      <c r="E903" s="156"/>
      <c r="F903" s="33" t="s">
        <v>68</v>
      </c>
    </row>
    <row r="904" spans="1:7" x14ac:dyDescent="0.6">
      <c r="A904" s="163" t="s">
        <v>127</v>
      </c>
      <c r="B904" s="156">
        <v>7</v>
      </c>
      <c r="C904" s="164"/>
      <c r="D904" s="165"/>
      <c r="E904" s="156"/>
      <c r="F904" s="33" t="s">
        <v>68</v>
      </c>
    </row>
    <row r="905" spans="1:7" x14ac:dyDescent="0.6">
      <c r="A905" s="163" t="s">
        <v>127</v>
      </c>
      <c r="B905" s="156">
        <v>7</v>
      </c>
      <c r="C905" s="164"/>
      <c r="D905" s="165"/>
      <c r="E905" s="156"/>
      <c r="F905" s="33" t="s">
        <v>68</v>
      </c>
    </row>
    <row r="906" spans="1:7" x14ac:dyDescent="0.6">
      <c r="A906" s="163" t="s">
        <v>127</v>
      </c>
      <c r="B906" s="156">
        <v>7</v>
      </c>
      <c r="C906" s="155"/>
      <c r="D906" s="165"/>
      <c r="E906" s="156"/>
      <c r="F906" s="33" t="s">
        <v>64</v>
      </c>
    </row>
    <row r="907" spans="1:7" x14ac:dyDescent="0.6">
      <c r="A907" s="163" t="s">
        <v>127</v>
      </c>
      <c r="B907" s="156">
        <v>7</v>
      </c>
      <c r="C907" s="155"/>
      <c r="D907" s="165"/>
      <c r="E907" s="156"/>
      <c r="F907" s="33" t="s">
        <v>64</v>
      </c>
    </row>
    <row r="908" spans="1:7" x14ac:dyDescent="0.6">
      <c r="A908" s="163" t="s">
        <v>127</v>
      </c>
      <c r="B908" s="156">
        <v>7</v>
      </c>
      <c r="C908" s="155"/>
      <c r="D908" s="165"/>
      <c r="E908" s="156"/>
      <c r="F908" s="33" t="s">
        <v>64</v>
      </c>
    </row>
    <row r="909" spans="1:7" x14ac:dyDescent="0.6">
      <c r="A909" s="163" t="s">
        <v>127</v>
      </c>
      <c r="B909" s="156">
        <v>7</v>
      </c>
      <c r="C909" s="155"/>
      <c r="D909" s="165"/>
      <c r="E909" s="156"/>
      <c r="F909" s="23" t="s">
        <v>69</v>
      </c>
      <c r="G909" s="23" t="s">
        <v>69</v>
      </c>
    </row>
    <row r="910" spans="1:7" x14ac:dyDescent="0.6">
      <c r="A910" s="163" t="s">
        <v>127</v>
      </c>
      <c r="B910" s="156">
        <v>7</v>
      </c>
      <c r="C910" s="155"/>
      <c r="D910" s="165"/>
      <c r="E910" s="156"/>
      <c r="F910" s="23" t="s">
        <v>69</v>
      </c>
      <c r="G910" s="23" t="s">
        <v>69</v>
      </c>
    </row>
    <row r="911" spans="1:7" x14ac:dyDescent="0.6">
      <c r="A911" s="163" t="s">
        <v>127</v>
      </c>
      <c r="B911" s="156">
        <v>7</v>
      </c>
      <c r="C911" s="155"/>
      <c r="D911" s="165"/>
      <c r="E911" s="156"/>
      <c r="F911" s="23" t="s">
        <v>69</v>
      </c>
      <c r="G911" s="23" t="s">
        <v>69</v>
      </c>
    </row>
    <row r="912" spans="1:7" x14ac:dyDescent="0.6">
      <c r="A912" s="163" t="s">
        <v>128</v>
      </c>
      <c r="B912" s="156">
        <v>7</v>
      </c>
      <c r="C912" s="155"/>
      <c r="D912" s="165"/>
      <c r="E912" s="156"/>
      <c r="F912" s="23" t="s">
        <v>60</v>
      </c>
      <c r="G912" s="23" t="s">
        <v>67</v>
      </c>
    </row>
    <row r="913" spans="1:7" x14ac:dyDescent="0.6">
      <c r="A913" s="163" t="s">
        <v>129</v>
      </c>
      <c r="B913" s="156">
        <v>7</v>
      </c>
      <c r="C913" s="164"/>
      <c r="D913" s="165"/>
      <c r="E913" s="156"/>
      <c r="F913" s="23" t="s">
        <v>68</v>
      </c>
      <c r="G913" s="23" t="s">
        <v>110</v>
      </c>
    </row>
    <row r="914" spans="1:7" x14ac:dyDescent="0.6">
      <c r="A914" s="163" t="s">
        <v>130</v>
      </c>
      <c r="B914" s="156">
        <v>7</v>
      </c>
      <c r="C914" s="164"/>
      <c r="D914" s="165"/>
      <c r="E914" s="156"/>
      <c r="F914" s="33" t="s">
        <v>68</v>
      </c>
    </row>
    <row r="915" spans="1:7" x14ac:dyDescent="0.6">
      <c r="A915" s="163" t="s">
        <v>130</v>
      </c>
      <c r="B915" s="156">
        <v>7</v>
      </c>
      <c r="C915" s="155"/>
      <c r="D915" s="165"/>
      <c r="E915" s="156"/>
      <c r="F915" s="23" t="s">
        <v>58</v>
      </c>
      <c r="G915" s="23" t="s">
        <v>67</v>
      </c>
    </row>
    <row r="916" spans="1:7" x14ac:dyDescent="0.6">
      <c r="A916" s="163" t="s">
        <v>131</v>
      </c>
      <c r="B916" s="156">
        <v>7</v>
      </c>
      <c r="C916" s="164"/>
      <c r="D916" s="165"/>
      <c r="E916" s="156"/>
      <c r="F916" s="33" t="s">
        <v>68</v>
      </c>
    </row>
    <row r="917" spans="1:7" x14ac:dyDescent="0.6">
      <c r="A917" s="163" t="s">
        <v>131</v>
      </c>
      <c r="B917" s="156">
        <v>7</v>
      </c>
      <c r="C917" s="164"/>
      <c r="D917" s="165"/>
      <c r="E917" s="156"/>
      <c r="F917" s="33" t="s">
        <v>68</v>
      </c>
    </row>
    <row r="918" spans="1:7" x14ac:dyDescent="0.6">
      <c r="A918" s="163" t="s">
        <v>131</v>
      </c>
      <c r="B918" s="156">
        <v>7</v>
      </c>
      <c r="C918" s="164"/>
      <c r="D918" s="165"/>
      <c r="E918" s="156"/>
      <c r="F918" s="33" t="s">
        <v>68</v>
      </c>
    </row>
    <row r="919" spans="1:7" x14ac:dyDescent="0.6">
      <c r="A919" s="163" t="s">
        <v>131</v>
      </c>
      <c r="B919" s="156">
        <v>7</v>
      </c>
      <c r="C919" s="164"/>
      <c r="D919" s="165"/>
      <c r="E919" s="156"/>
      <c r="F919" s="33" t="s">
        <v>68</v>
      </c>
    </row>
    <row r="920" spans="1:7" x14ac:dyDescent="0.6">
      <c r="A920" s="163" t="s">
        <v>131</v>
      </c>
      <c r="B920" s="156">
        <v>7</v>
      </c>
      <c r="C920" s="155"/>
      <c r="D920" s="165"/>
      <c r="E920" s="156"/>
      <c r="F920" s="23" t="s">
        <v>69</v>
      </c>
      <c r="G920" s="23" t="s">
        <v>69</v>
      </c>
    </row>
    <row r="921" spans="1:7" x14ac:dyDescent="0.6">
      <c r="A921" s="163" t="s">
        <v>131</v>
      </c>
      <c r="B921" s="156">
        <v>7</v>
      </c>
      <c r="C921" s="155"/>
      <c r="D921" s="165"/>
      <c r="E921" s="156"/>
      <c r="F921" s="27" t="s">
        <v>63</v>
      </c>
      <c r="G921" s="23" t="s">
        <v>110</v>
      </c>
    </row>
    <row r="922" spans="1:7" x14ac:dyDescent="0.6">
      <c r="A922" s="163" t="s">
        <v>131</v>
      </c>
      <c r="B922" s="156">
        <v>7</v>
      </c>
      <c r="C922" s="155"/>
      <c r="D922" s="165"/>
      <c r="E922" s="156"/>
      <c r="F922" s="27" t="s">
        <v>63</v>
      </c>
      <c r="G922" s="23" t="s">
        <v>110</v>
      </c>
    </row>
    <row r="923" spans="1:7" x14ac:dyDescent="0.6">
      <c r="A923" s="163" t="s">
        <v>131</v>
      </c>
      <c r="B923" s="156">
        <v>7</v>
      </c>
      <c r="C923" s="155"/>
      <c r="D923" s="165"/>
      <c r="E923" s="156"/>
      <c r="F923" s="27" t="s">
        <v>63</v>
      </c>
      <c r="G923" s="23" t="s">
        <v>110</v>
      </c>
    </row>
    <row r="924" spans="1:7" x14ac:dyDescent="0.6">
      <c r="A924" s="163" t="s">
        <v>131</v>
      </c>
      <c r="B924" s="156">
        <v>7</v>
      </c>
      <c r="C924" s="155"/>
      <c r="D924" s="165"/>
      <c r="E924" s="156"/>
      <c r="F924" s="27" t="s">
        <v>63</v>
      </c>
      <c r="G924" s="23" t="s">
        <v>110</v>
      </c>
    </row>
    <row r="925" spans="1:7" x14ac:dyDescent="0.6">
      <c r="A925" s="163" t="s">
        <v>131</v>
      </c>
      <c r="B925" s="156">
        <v>7</v>
      </c>
      <c r="C925" s="155"/>
      <c r="D925" s="165"/>
      <c r="E925" s="156"/>
      <c r="F925" s="27" t="s">
        <v>63</v>
      </c>
      <c r="G925" s="23" t="s">
        <v>110</v>
      </c>
    </row>
    <row r="926" spans="1:7" x14ac:dyDescent="0.6">
      <c r="A926" s="163" t="s">
        <v>131</v>
      </c>
      <c r="B926" s="156">
        <v>7</v>
      </c>
      <c r="C926" s="155"/>
      <c r="D926" s="165"/>
      <c r="E926" s="156"/>
      <c r="F926" s="27" t="s">
        <v>63</v>
      </c>
      <c r="G926" s="23" t="s">
        <v>110</v>
      </c>
    </row>
    <row r="927" spans="1:7" x14ac:dyDescent="0.6">
      <c r="A927" s="163" t="s">
        <v>131</v>
      </c>
      <c r="B927" s="156">
        <v>7</v>
      </c>
      <c r="C927" s="155"/>
      <c r="D927" s="165"/>
      <c r="E927" s="156"/>
      <c r="F927" s="27" t="s">
        <v>63</v>
      </c>
      <c r="G927" s="23" t="s">
        <v>110</v>
      </c>
    </row>
    <row r="928" spans="1:7" x14ac:dyDescent="0.6">
      <c r="A928" s="163" t="s">
        <v>131</v>
      </c>
      <c r="B928" s="156">
        <v>7</v>
      </c>
      <c r="C928" s="155"/>
      <c r="D928" s="165"/>
      <c r="E928" s="156"/>
      <c r="F928" s="27" t="s">
        <v>63</v>
      </c>
      <c r="G928" s="23" t="s">
        <v>110</v>
      </c>
    </row>
    <row r="929" spans="1:7" x14ac:dyDescent="0.6">
      <c r="A929" s="163" t="s">
        <v>132</v>
      </c>
      <c r="B929" s="156">
        <v>7</v>
      </c>
      <c r="C929" s="164"/>
      <c r="D929" s="165"/>
      <c r="E929" s="156"/>
      <c r="F929" s="33" t="s">
        <v>68</v>
      </c>
    </row>
    <row r="930" spans="1:7" x14ac:dyDescent="0.6">
      <c r="A930" s="163" t="s">
        <v>133</v>
      </c>
      <c r="B930" s="156">
        <v>7</v>
      </c>
      <c r="C930" s="155"/>
      <c r="D930" s="165"/>
      <c r="E930" s="156"/>
      <c r="F930" s="23" t="s">
        <v>69</v>
      </c>
      <c r="G930" s="23" t="s">
        <v>69</v>
      </c>
    </row>
    <row r="931" spans="1:7" x14ac:dyDescent="0.6">
      <c r="A931" s="163" t="s">
        <v>133</v>
      </c>
      <c r="B931" s="156">
        <v>7</v>
      </c>
      <c r="C931" s="155"/>
      <c r="D931" s="165"/>
      <c r="E931" s="156"/>
      <c r="F931" s="23" t="s">
        <v>58</v>
      </c>
      <c r="G931" s="23" t="s">
        <v>67</v>
      </c>
    </row>
    <row r="932" spans="1:7" x14ac:dyDescent="0.6">
      <c r="A932" s="163" t="s">
        <v>133</v>
      </c>
      <c r="B932" s="156">
        <v>7</v>
      </c>
      <c r="C932" s="155"/>
      <c r="D932" s="165"/>
      <c r="E932" s="156"/>
      <c r="F932" s="23" t="s">
        <v>58</v>
      </c>
      <c r="G932" s="23" t="s">
        <v>67</v>
      </c>
    </row>
    <row r="933" spans="1:7" x14ac:dyDescent="0.6">
      <c r="A933" s="163" t="s">
        <v>133</v>
      </c>
      <c r="B933" s="156">
        <v>7</v>
      </c>
      <c r="C933" s="155"/>
      <c r="D933" s="165"/>
      <c r="E933" s="156"/>
      <c r="F933" s="23" t="s">
        <v>58</v>
      </c>
      <c r="G933" s="23" t="s">
        <v>59</v>
      </c>
    </row>
    <row r="934" spans="1:7" x14ac:dyDescent="0.6">
      <c r="A934" s="163" t="s">
        <v>134</v>
      </c>
      <c r="B934" s="156">
        <v>7</v>
      </c>
      <c r="C934" s="155"/>
      <c r="D934" s="165"/>
      <c r="E934" s="156"/>
      <c r="F934" s="23" t="s">
        <v>69</v>
      </c>
      <c r="G934" s="23" t="s">
        <v>69</v>
      </c>
    </row>
    <row r="935" spans="1:7" x14ac:dyDescent="0.6">
      <c r="A935" s="163" t="s">
        <v>134</v>
      </c>
      <c r="B935" s="156">
        <v>7</v>
      </c>
      <c r="C935" s="155"/>
      <c r="D935" s="165"/>
      <c r="E935" s="156"/>
      <c r="F935" s="23" t="s">
        <v>58</v>
      </c>
      <c r="G935" s="23" t="s">
        <v>67</v>
      </c>
    </row>
    <row r="936" spans="1:7" x14ac:dyDescent="0.6">
      <c r="A936" s="163" t="s">
        <v>135</v>
      </c>
      <c r="B936" s="156">
        <v>7</v>
      </c>
      <c r="C936" s="155"/>
      <c r="D936" s="165"/>
      <c r="E936" s="156"/>
      <c r="F936" s="23" t="s">
        <v>66</v>
      </c>
    </row>
    <row r="937" spans="1:7" x14ac:dyDescent="0.6">
      <c r="A937" s="163" t="s">
        <v>135</v>
      </c>
      <c r="B937" s="156">
        <v>7</v>
      </c>
      <c r="C937" s="155"/>
      <c r="D937" s="165"/>
      <c r="E937" s="156"/>
      <c r="F937" s="23" t="s">
        <v>69</v>
      </c>
      <c r="G937" s="23" t="s">
        <v>69</v>
      </c>
    </row>
    <row r="938" spans="1:7" x14ac:dyDescent="0.6">
      <c r="A938" s="163" t="s">
        <v>135</v>
      </c>
      <c r="B938" s="156">
        <v>7</v>
      </c>
      <c r="C938" s="155"/>
      <c r="D938" s="165"/>
      <c r="E938" s="156"/>
      <c r="F938" s="23" t="s">
        <v>60</v>
      </c>
      <c r="G938" s="23" t="s">
        <v>61</v>
      </c>
    </row>
    <row r="939" spans="1:7" x14ac:dyDescent="0.6">
      <c r="A939" s="163" t="s">
        <v>135</v>
      </c>
      <c r="B939" s="156">
        <v>7</v>
      </c>
      <c r="C939" s="155"/>
      <c r="D939" s="165"/>
      <c r="E939" s="156"/>
      <c r="F939" s="23" t="s">
        <v>62</v>
      </c>
      <c r="G939" s="23" t="s">
        <v>136</v>
      </c>
    </row>
    <row r="940" spans="1:7" x14ac:dyDescent="0.6">
      <c r="A940" s="163" t="s">
        <v>135</v>
      </c>
      <c r="B940" s="156">
        <v>7</v>
      </c>
      <c r="C940" s="155"/>
      <c r="D940" s="165"/>
      <c r="E940" s="156"/>
      <c r="F940" s="23" t="s">
        <v>65</v>
      </c>
    </row>
    <row r="941" spans="1:7" x14ac:dyDescent="0.6">
      <c r="A941" s="163" t="s">
        <v>135</v>
      </c>
      <c r="B941" s="156">
        <v>7</v>
      </c>
      <c r="C941" s="155"/>
      <c r="D941" s="165"/>
      <c r="E941" s="156"/>
      <c r="F941" s="23" t="s">
        <v>65</v>
      </c>
    </row>
    <row r="942" spans="1:7" x14ac:dyDescent="0.6">
      <c r="A942" s="163" t="s">
        <v>137</v>
      </c>
      <c r="B942" s="156">
        <v>7</v>
      </c>
      <c r="C942" s="164"/>
      <c r="D942" s="165"/>
      <c r="E942" s="156"/>
      <c r="F942" s="33" t="s">
        <v>68</v>
      </c>
    </row>
    <row r="943" spans="1:7" x14ac:dyDescent="0.6">
      <c r="A943" s="163" t="s">
        <v>137</v>
      </c>
      <c r="B943" s="156">
        <v>7</v>
      </c>
      <c r="C943" s="155"/>
      <c r="D943" s="165"/>
      <c r="E943" s="156"/>
      <c r="F943" s="23" t="s">
        <v>60</v>
      </c>
      <c r="G943" s="23" t="s">
        <v>70</v>
      </c>
    </row>
    <row r="944" spans="1:7" x14ac:dyDescent="0.6">
      <c r="A944" s="163" t="s">
        <v>137</v>
      </c>
      <c r="B944" s="156">
        <v>7</v>
      </c>
      <c r="C944" s="155"/>
      <c r="D944" s="165"/>
      <c r="E944" s="156"/>
      <c r="F944" s="23" t="s">
        <v>60</v>
      </c>
      <c r="G944" s="23" t="s">
        <v>70</v>
      </c>
    </row>
    <row r="945" spans="1:7" x14ac:dyDescent="0.6">
      <c r="A945" s="163" t="s">
        <v>137</v>
      </c>
      <c r="B945" s="156">
        <v>7</v>
      </c>
      <c r="C945" s="155"/>
      <c r="D945" s="165"/>
      <c r="E945" s="156"/>
      <c r="F945" s="23" t="s">
        <v>60</v>
      </c>
      <c r="G945" s="23" t="s">
        <v>67</v>
      </c>
    </row>
    <row r="946" spans="1:7" x14ac:dyDescent="0.6">
      <c r="A946" s="163" t="s">
        <v>137</v>
      </c>
      <c r="B946" s="156">
        <v>7</v>
      </c>
      <c r="C946" s="155"/>
      <c r="D946" s="165"/>
      <c r="E946" s="156"/>
      <c r="F946" s="23" t="s">
        <v>60</v>
      </c>
      <c r="G946" s="23" t="s">
        <v>61</v>
      </c>
    </row>
    <row r="947" spans="1:7" x14ac:dyDescent="0.6">
      <c r="A947" s="163" t="s">
        <v>137</v>
      </c>
      <c r="B947" s="156">
        <v>7</v>
      </c>
      <c r="C947" s="155"/>
      <c r="D947" s="165"/>
      <c r="E947" s="156"/>
      <c r="F947" s="23" t="s">
        <v>60</v>
      </c>
      <c r="G947" s="23" t="s">
        <v>70</v>
      </c>
    </row>
    <row r="948" spans="1:7" x14ac:dyDescent="0.6">
      <c r="A948" s="163" t="s">
        <v>137</v>
      </c>
      <c r="B948" s="156">
        <v>7</v>
      </c>
      <c r="C948" s="155"/>
      <c r="D948" s="165"/>
      <c r="E948" s="156"/>
      <c r="F948" s="23" t="s">
        <v>58</v>
      </c>
      <c r="G948" s="23" t="s">
        <v>44</v>
      </c>
    </row>
    <row r="949" spans="1:7" x14ac:dyDescent="0.6">
      <c r="A949" s="163" t="s">
        <v>137</v>
      </c>
      <c r="B949" s="156">
        <v>7</v>
      </c>
      <c r="C949" s="155"/>
      <c r="D949" s="165"/>
      <c r="E949" s="156"/>
      <c r="F949" s="29" t="s">
        <v>37</v>
      </c>
    </row>
    <row r="950" spans="1:7" x14ac:dyDescent="0.6">
      <c r="A950" s="163" t="s">
        <v>137</v>
      </c>
      <c r="B950" s="156">
        <v>7</v>
      </c>
      <c r="C950" s="155"/>
      <c r="D950" s="165"/>
      <c r="E950" s="156"/>
      <c r="F950" s="23" t="s">
        <v>58</v>
      </c>
      <c r="G950" s="23" t="s">
        <v>59</v>
      </c>
    </row>
    <row r="951" spans="1:7" x14ac:dyDescent="0.6">
      <c r="A951" s="163" t="s">
        <v>137</v>
      </c>
      <c r="B951" s="156">
        <v>7</v>
      </c>
      <c r="C951" s="155"/>
      <c r="D951" s="165"/>
      <c r="E951" s="156"/>
      <c r="F951" s="23" t="s">
        <v>69</v>
      </c>
      <c r="G951" s="23" t="s">
        <v>69</v>
      </c>
    </row>
    <row r="952" spans="1:7" x14ac:dyDescent="0.6">
      <c r="A952" s="163" t="s">
        <v>137</v>
      </c>
      <c r="B952" s="156">
        <v>7</v>
      </c>
      <c r="C952" s="155"/>
      <c r="D952" s="165"/>
      <c r="E952" s="156"/>
      <c r="F952" s="23" t="s">
        <v>60</v>
      </c>
      <c r="G952" s="23" t="s">
        <v>70</v>
      </c>
    </row>
    <row r="953" spans="1:7" x14ac:dyDescent="0.6">
      <c r="A953" s="163" t="s">
        <v>137</v>
      </c>
      <c r="B953" s="156">
        <v>7</v>
      </c>
      <c r="C953" s="155"/>
      <c r="D953" s="165"/>
      <c r="E953" s="156"/>
      <c r="F953" s="23" t="s">
        <v>60</v>
      </c>
      <c r="G953" s="23" t="s">
        <v>67</v>
      </c>
    </row>
    <row r="954" spans="1:7" x14ac:dyDescent="0.6">
      <c r="A954" s="163" t="s">
        <v>137</v>
      </c>
      <c r="B954" s="156">
        <v>7</v>
      </c>
      <c r="C954" s="155"/>
      <c r="D954" s="165"/>
      <c r="E954" s="156"/>
      <c r="F954" s="23" t="s">
        <v>58</v>
      </c>
      <c r="G954" s="23" t="s">
        <v>59</v>
      </c>
    </row>
    <row r="955" spans="1:7" x14ac:dyDescent="0.6">
      <c r="A955" s="163" t="s">
        <v>138</v>
      </c>
      <c r="B955" s="156">
        <v>7</v>
      </c>
      <c r="C955" s="155"/>
      <c r="D955" s="165"/>
      <c r="E955" s="156"/>
      <c r="F955" s="23" t="s">
        <v>64</v>
      </c>
      <c r="G955" s="23" t="s">
        <v>110</v>
      </c>
    </row>
    <row r="956" spans="1:7" x14ac:dyDescent="0.6">
      <c r="A956" s="163" t="s">
        <v>138</v>
      </c>
      <c r="B956" s="156">
        <v>7</v>
      </c>
      <c r="C956" s="155"/>
      <c r="D956" s="165"/>
      <c r="E956" s="156"/>
      <c r="F956" s="23" t="s">
        <v>69</v>
      </c>
      <c r="G956" s="23" t="s">
        <v>69</v>
      </c>
    </row>
    <row r="957" spans="1:7" x14ac:dyDescent="0.6">
      <c r="A957" s="163" t="s">
        <v>139</v>
      </c>
      <c r="B957" s="156">
        <v>7</v>
      </c>
      <c r="C957" s="164"/>
      <c r="D957" s="165"/>
      <c r="E957" s="156"/>
      <c r="F957" s="33" t="s">
        <v>68</v>
      </c>
    </row>
    <row r="958" spans="1:7" x14ac:dyDescent="0.6">
      <c r="A958" s="163" t="s">
        <v>139</v>
      </c>
      <c r="B958" s="156">
        <v>7</v>
      </c>
      <c r="C958" s="155"/>
      <c r="D958" s="165"/>
      <c r="E958" s="156"/>
      <c r="F958" s="23" t="s">
        <v>69</v>
      </c>
      <c r="G958" s="23" t="s">
        <v>69</v>
      </c>
    </row>
    <row r="959" spans="1:7" x14ac:dyDescent="0.6">
      <c r="A959" s="163" t="s">
        <v>139</v>
      </c>
      <c r="B959" s="156">
        <v>7</v>
      </c>
      <c r="C959" s="155"/>
      <c r="D959" s="165"/>
      <c r="E959" s="156"/>
      <c r="F959" s="23" t="s">
        <v>69</v>
      </c>
      <c r="G959" s="23" t="s">
        <v>69</v>
      </c>
    </row>
    <row r="960" spans="1:7" x14ac:dyDescent="0.6">
      <c r="A960" s="163" t="s">
        <v>140</v>
      </c>
      <c r="B960" s="156">
        <v>7</v>
      </c>
      <c r="C960" s="155"/>
      <c r="D960" s="165"/>
      <c r="F960" s="33" t="s">
        <v>68</v>
      </c>
    </row>
    <row r="961" spans="1:7" x14ac:dyDescent="0.6">
      <c r="A961" s="163" t="s">
        <v>140</v>
      </c>
      <c r="B961" s="156">
        <v>7</v>
      </c>
      <c r="C961" s="155"/>
      <c r="D961" s="165"/>
      <c r="F961" s="33" t="s">
        <v>68</v>
      </c>
    </row>
    <row r="962" spans="1:7" x14ac:dyDescent="0.6">
      <c r="A962" s="163" t="s">
        <v>140</v>
      </c>
      <c r="B962" s="156">
        <v>7</v>
      </c>
      <c r="C962" s="155"/>
      <c r="D962" s="165"/>
      <c r="F962" s="166" t="s">
        <v>69</v>
      </c>
      <c r="G962" s="23" t="s">
        <v>69</v>
      </c>
    </row>
    <row r="963" spans="1:7" x14ac:dyDescent="0.6">
      <c r="A963" s="163" t="s">
        <v>140</v>
      </c>
      <c r="B963" s="156">
        <v>7</v>
      </c>
      <c r="C963" s="155"/>
      <c r="D963" s="167"/>
      <c r="F963" s="166" t="s">
        <v>58</v>
      </c>
      <c r="G963" s="23" t="s">
        <v>59</v>
      </c>
    </row>
    <row r="964" spans="1:7" x14ac:dyDescent="0.6">
      <c r="A964" s="163" t="s">
        <v>141</v>
      </c>
      <c r="B964" s="156">
        <v>7</v>
      </c>
      <c r="C964" s="155"/>
      <c r="D964" s="165"/>
      <c r="F964" s="33" t="s">
        <v>68</v>
      </c>
    </row>
    <row r="965" spans="1:7" x14ac:dyDescent="0.6">
      <c r="A965" s="163" t="s">
        <v>141</v>
      </c>
      <c r="B965" s="156">
        <v>7</v>
      </c>
      <c r="C965" s="155"/>
      <c r="D965" s="165"/>
      <c r="F965" s="33" t="s">
        <v>68</v>
      </c>
    </row>
    <row r="966" spans="1:7" x14ac:dyDescent="0.6">
      <c r="A966" s="163" t="s">
        <v>141</v>
      </c>
      <c r="B966" s="156">
        <v>7</v>
      </c>
      <c r="C966" s="155"/>
      <c r="D966" s="165"/>
      <c r="F966" s="166" t="s">
        <v>60</v>
      </c>
      <c r="G966" s="23" t="s">
        <v>73</v>
      </c>
    </row>
    <row r="967" spans="1:7" x14ac:dyDescent="0.6">
      <c r="A967" s="163" t="s">
        <v>141</v>
      </c>
      <c r="B967" s="156">
        <v>7</v>
      </c>
      <c r="C967" s="155"/>
      <c r="D967" s="165"/>
      <c r="F967" s="166" t="s">
        <v>60</v>
      </c>
      <c r="G967" s="23" t="s">
        <v>73</v>
      </c>
    </row>
    <row r="968" spans="1:7" x14ac:dyDescent="0.6">
      <c r="A968" s="163" t="s">
        <v>141</v>
      </c>
      <c r="B968" s="156">
        <v>7</v>
      </c>
      <c r="C968" s="155"/>
      <c r="D968" s="165"/>
      <c r="F968" s="166" t="s">
        <v>60</v>
      </c>
      <c r="G968" s="23" t="s">
        <v>61</v>
      </c>
    </row>
    <row r="969" spans="1:7" x14ac:dyDescent="0.6">
      <c r="A969" s="163" t="s">
        <v>141</v>
      </c>
      <c r="B969" s="156">
        <v>7</v>
      </c>
      <c r="C969" s="155"/>
      <c r="D969" s="165"/>
      <c r="F969" s="166" t="s">
        <v>60</v>
      </c>
      <c r="G969" s="23" t="s">
        <v>61</v>
      </c>
    </row>
    <row r="970" spans="1:7" x14ac:dyDescent="0.6">
      <c r="A970" s="163" t="s">
        <v>141</v>
      </c>
      <c r="B970" s="156">
        <v>7</v>
      </c>
      <c r="C970" s="155"/>
      <c r="D970" s="165"/>
      <c r="F970" s="166" t="s">
        <v>69</v>
      </c>
      <c r="G970" s="23" t="s">
        <v>69</v>
      </c>
    </row>
    <row r="971" spans="1:7" x14ac:dyDescent="0.6">
      <c r="A971" s="163" t="s">
        <v>141</v>
      </c>
      <c r="B971" s="156">
        <v>7</v>
      </c>
      <c r="C971" s="155"/>
      <c r="D971" s="165"/>
      <c r="F971" s="166" t="s">
        <v>65</v>
      </c>
      <c r="G971" s="23" t="s">
        <v>65</v>
      </c>
    </row>
    <row r="972" spans="1:7" x14ac:dyDescent="0.6">
      <c r="A972" s="163" t="s">
        <v>141</v>
      </c>
      <c r="B972" s="156">
        <v>7</v>
      </c>
      <c r="C972" s="155"/>
      <c r="D972" s="167"/>
      <c r="F972" s="166" t="s">
        <v>58</v>
      </c>
      <c r="G972" s="48" t="s">
        <v>76</v>
      </c>
    </row>
    <row r="973" spans="1:7" x14ac:dyDescent="0.6">
      <c r="A973" s="163" t="s">
        <v>141</v>
      </c>
      <c r="B973" s="156">
        <v>7</v>
      </c>
      <c r="C973" s="155"/>
      <c r="D973" s="165"/>
      <c r="F973" s="166" t="s">
        <v>60</v>
      </c>
      <c r="G973" s="23" t="s">
        <v>67</v>
      </c>
    </row>
    <row r="974" spans="1:7" x14ac:dyDescent="0.6">
      <c r="A974" s="163" t="s">
        <v>141</v>
      </c>
      <c r="B974" s="156">
        <v>7</v>
      </c>
      <c r="C974" s="155"/>
      <c r="D974" s="167"/>
      <c r="F974" s="166" t="s">
        <v>58</v>
      </c>
      <c r="G974" s="23" t="s">
        <v>44</v>
      </c>
    </row>
    <row r="975" spans="1:7" x14ac:dyDescent="0.6">
      <c r="A975" s="163" t="s">
        <v>141</v>
      </c>
      <c r="B975" s="156">
        <v>7</v>
      </c>
      <c r="C975" s="155"/>
      <c r="D975" s="165"/>
      <c r="F975" s="166" t="s">
        <v>60</v>
      </c>
      <c r="G975" s="23" t="s">
        <v>67</v>
      </c>
    </row>
    <row r="976" spans="1:7" x14ac:dyDescent="0.6">
      <c r="A976" s="163" t="s">
        <v>141</v>
      </c>
      <c r="B976" s="156">
        <v>7</v>
      </c>
      <c r="C976" s="155"/>
      <c r="D976" s="165"/>
      <c r="F976" s="166" t="s">
        <v>60</v>
      </c>
      <c r="G976" s="23" t="s">
        <v>61</v>
      </c>
    </row>
    <row r="977" spans="1:7" x14ac:dyDescent="0.6">
      <c r="A977" s="163" t="s">
        <v>141</v>
      </c>
      <c r="B977" s="156">
        <v>7</v>
      </c>
      <c r="C977" s="155"/>
      <c r="D977" s="165"/>
      <c r="F977" s="166" t="s">
        <v>58</v>
      </c>
      <c r="G977" s="23" t="s">
        <v>72</v>
      </c>
    </row>
    <row r="978" spans="1:7" x14ac:dyDescent="0.6">
      <c r="A978" s="163" t="s">
        <v>141</v>
      </c>
      <c r="B978" s="156">
        <v>7</v>
      </c>
      <c r="C978" s="155"/>
      <c r="D978" s="167"/>
      <c r="F978" s="166" t="s">
        <v>58</v>
      </c>
      <c r="G978" s="48" t="s">
        <v>76</v>
      </c>
    </row>
    <row r="979" spans="1:7" x14ac:dyDescent="0.6">
      <c r="A979" s="163" t="s">
        <v>141</v>
      </c>
      <c r="B979" s="156">
        <v>7</v>
      </c>
      <c r="C979" s="155"/>
      <c r="D979" s="165"/>
      <c r="F979" s="166" t="s">
        <v>60</v>
      </c>
      <c r="G979" s="23" t="s">
        <v>67</v>
      </c>
    </row>
    <row r="980" spans="1:7" x14ac:dyDescent="0.6">
      <c r="A980" s="163" t="s">
        <v>141</v>
      </c>
      <c r="B980" s="156">
        <v>7</v>
      </c>
      <c r="C980" s="155"/>
      <c r="D980" s="165"/>
      <c r="F980" s="166" t="s">
        <v>60</v>
      </c>
      <c r="G980" s="23" t="s">
        <v>67</v>
      </c>
    </row>
    <row r="981" spans="1:7" x14ac:dyDescent="0.6">
      <c r="A981" s="163" t="s">
        <v>141</v>
      </c>
      <c r="B981" s="156">
        <v>7</v>
      </c>
      <c r="C981" s="155"/>
      <c r="D981" s="165"/>
      <c r="F981" s="166" t="s">
        <v>60</v>
      </c>
      <c r="G981" s="23" t="s">
        <v>61</v>
      </c>
    </row>
    <row r="982" spans="1:7" x14ac:dyDescent="0.6">
      <c r="A982" s="163" t="s">
        <v>141</v>
      </c>
      <c r="B982" s="156">
        <v>7</v>
      </c>
      <c r="C982" s="155"/>
      <c r="D982" s="165"/>
      <c r="F982" s="166" t="s">
        <v>58</v>
      </c>
      <c r="G982" s="23" t="s">
        <v>75</v>
      </c>
    </row>
    <row r="983" spans="1:7" x14ac:dyDescent="0.6">
      <c r="A983" s="163" t="s">
        <v>141</v>
      </c>
      <c r="B983" s="156">
        <v>7</v>
      </c>
      <c r="C983" s="155"/>
      <c r="D983" s="165"/>
      <c r="F983" s="166" t="s">
        <v>58</v>
      </c>
      <c r="G983" s="23" t="s">
        <v>67</v>
      </c>
    </row>
    <row r="984" spans="1:7" x14ac:dyDescent="0.6">
      <c r="A984" s="163" t="s">
        <v>141</v>
      </c>
      <c r="B984" s="156">
        <v>7</v>
      </c>
      <c r="C984" s="155"/>
      <c r="D984" s="165"/>
      <c r="F984" s="166" t="s">
        <v>66</v>
      </c>
    </row>
    <row r="985" spans="1:7" x14ac:dyDescent="0.6">
      <c r="A985" s="163" t="s">
        <v>141</v>
      </c>
      <c r="B985" s="156">
        <v>7</v>
      </c>
      <c r="C985" s="155"/>
      <c r="D985" s="165"/>
      <c r="F985" s="27" t="s">
        <v>63</v>
      </c>
    </row>
    <row r="986" spans="1:7" x14ac:dyDescent="0.6">
      <c r="A986" s="163" t="s">
        <v>141</v>
      </c>
      <c r="B986" s="156">
        <v>7</v>
      </c>
      <c r="C986" s="155"/>
      <c r="D986" s="165"/>
      <c r="F986" s="27" t="s">
        <v>63</v>
      </c>
    </row>
    <row r="987" spans="1:7" x14ac:dyDescent="0.6">
      <c r="A987" s="163" t="s">
        <v>141</v>
      </c>
      <c r="B987" s="156">
        <v>7</v>
      </c>
      <c r="C987" s="155"/>
      <c r="D987" s="165"/>
      <c r="F987" s="27" t="s">
        <v>63</v>
      </c>
    </row>
    <row r="988" spans="1:7" x14ac:dyDescent="0.6">
      <c r="A988" s="163" t="s">
        <v>141</v>
      </c>
      <c r="B988" s="156">
        <v>7</v>
      </c>
      <c r="C988" s="155"/>
      <c r="D988" s="165"/>
      <c r="F988" s="27" t="s">
        <v>63</v>
      </c>
    </row>
    <row r="989" spans="1:7" x14ac:dyDescent="0.6">
      <c r="A989" s="163" t="s">
        <v>141</v>
      </c>
      <c r="B989" s="156">
        <v>7</v>
      </c>
      <c r="C989" s="155"/>
      <c r="D989" s="165"/>
      <c r="F989" s="27" t="s">
        <v>63</v>
      </c>
    </row>
    <row r="990" spans="1:7" x14ac:dyDescent="0.6">
      <c r="A990" s="163" t="s">
        <v>141</v>
      </c>
      <c r="B990" s="156">
        <v>7</v>
      </c>
      <c r="C990" s="155"/>
      <c r="D990" s="165"/>
      <c r="F990" s="27" t="s">
        <v>63</v>
      </c>
    </row>
    <row r="991" spans="1:7" x14ac:dyDescent="0.6">
      <c r="A991" s="163" t="s">
        <v>141</v>
      </c>
      <c r="B991" s="156">
        <v>7</v>
      </c>
      <c r="C991" s="155"/>
      <c r="D991" s="165"/>
      <c r="F991" s="27" t="s">
        <v>63</v>
      </c>
    </row>
    <row r="992" spans="1:7" x14ac:dyDescent="0.6">
      <c r="A992" s="163" t="s">
        <v>141</v>
      </c>
      <c r="B992" s="156">
        <v>7</v>
      </c>
      <c r="C992" s="155"/>
      <c r="D992" s="165"/>
      <c r="F992" s="27" t="s">
        <v>63</v>
      </c>
    </row>
    <row r="993" spans="1:8" x14ac:dyDescent="0.6">
      <c r="A993" s="163" t="s">
        <v>141</v>
      </c>
      <c r="B993" s="156">
        <v>7</v>
      </c>
      <c r="C993" s="155"/>
      <c r="D993" s="167"/>
      <c r="F993" s="166" t="s">
        <v>58</v>
      </c>
      <c r="G993" s="23" t="s">
        <v>59</v>
      </c>
    </row>
    <row r="994" spans="1:8" x14ac:dyDescent="0.6">
      <c r="A994" s="163" t="s">
        <v>141</v>
      </c>
      <c r="B994" s="156">
        <v>7</v>
      </c>
      <c r="C994" s="155"/>
      <c r="D994" s="165"/>
      <c r="F994" s="166" t="s">
        <v>69</v>
      </c>
      <c r="G994" s="23" t="s">
        <v>69</v>
      </c>
    </row>
    <row r="995" spans="1:8" x14ac:dyDescent="0.6">
      <c r="A995" s="168" t="s">
        <v>142</v>
      </c>
      <c r="B995" s="169">
        <v>8</v>
      </c>
      <c r="C995" s="170"/>
      <c r="D995" s="170"/>
      <c r="E995" s="169"/>
      <c r="F995" s="54" t="s">
        <v>69</v>
      </c>
      <c r="G995" s="54" t="s">
        <v>69</v>
      </c>
      <c r="H995" s="54"/>
    </row>
    <row r="996" spans="1:8" x14ac:dyDescent="0.6">
      <c r="A996" s="168" t="s">
        <v>142</v>
      </c>
      <c r="B996" s="169">
        <v>8</v>
      </c>
      <c r="C996" s="170"/>
      <c r="D996" s="170"/>
      <c r="E996" s="169"/>
      <c r="F996" s="54" t="s">
        <v>69</v>
      </c>
      <c r="G996" s="54" t="s">
        <v>69</v>
      </c>
      <c r="H996" s="54"/>
    </row>
    <row r="997" spans="1:8" x14ac:dyDescent="0.6">
      <c r="A997" s="168" t="s">
        <v>142</v>
      </c>
      <c r="B997" s="169">
        <v>8</v>
      </c>
      <c r="C997" s="170"/>
      <c r="D997" s="170"/>
      <c r="E997" s="169"/>
      <c r="F997" s="54" t="s">
        <v>58</v>
      </c>
      <c r="G997" s="54" t="s">
        <v>67</v>
      </c>
      <c r="H997" s="54"/>
    </row>
    <row r="998" spans="1:8" x14ac:dyDescent="0.6">
      <c r="A998" s="168" t="s">
        <v>142</v>
      </c>
      <c r="B998" s="169">
        <v>8</v>
      </c>
      <c r="C998" s="170"/>
      <c r="D998" s="170"/>
      <c r="E998" s="169"/>
      <c r="F998" s="54" t="s">
        <v>69</v>
      </c>
      <c r="G998" s="54" t="s">
        <v>69</v>
      </c>
      <c r="H998" s="54"/>
    </row>
    <row r="999" spans="1:8" x14ac:dyDescent="0.6">
      <c r="A999" s="168" t="s">
        <v>142</v>
      </c>
      <c r="B999" s="169">
        <v>8</v>
      </c>
      <c r="C999" s="170"/>
      <c r="D999" s="170"/>
      <c r="E999" s="169"/>
      <c r="F999" s="54" t="s">
        <v>60</v>
      </c>
      <c r="G999" s="54" t="s">
        <v>61</v>
      </c>
      <c r="H999" s="54"/>
    </row>
    <row r="1000" spans="1:8" x14ac:dyDescent="0.6">
      <c r="A1000" s="168" t="s">
        <v>142</v>
      </c>
      <c r="B1000" s="169">
        <v>8</v>
      </c>
      <c r="C1000" s="170"/>
      <c r="D1000" s="170"/>
      <c r="E1000" s="169"/>
      <c r="F1000" s="54" t="s">
        <v>58</v>
      </c>
      <c r="G1000" s="54" t="s">
        <v>59</v>
      </c>
      <c r="H1000" s="54"/>
    </row>
    <row r="1001" spans="1:8" x14ac:dyDescent="0.6">
      <c r="A1001" s="168" t="s">
        <v>143</v>
      </c>
      <c r="B1001" s="169">
        <v>8</v>
      </c>
      <c r="C1001" s="170"/>
      <c r="D1001" s="170"/>
      <c r="E1001" s="169"/>
      <c r="F1001" s="33" t="s">
        <v>64</v>
      </c>
      <c r="G1001" s="54"/>
      <c r="H1001" s="54"/>
    </row>
    <row r="1002" spans="1:8" x14ac:dyDescent="0.6">
      <c r="A1002" s="168" t="s">
        <v>143</v>
      </c>
      <c r="B1002" s="169">
        <v>8</v>
      </c>
      <c r="C1002" s="170"/>
      <c r="D1002" s="170"/>
      <c r="E1002" s="169"/>
      <c r="F1002" s="33" t="s">
        <v>68</v>
      </c>
      <c r="G1002" s="54"/>
      <c r="H1002" s="54"/>
    </row>
    <row r="1003" spans="1:8" x14ac:dyDescent="0.6">
      <c r="A1003" s="168" t="s">
        <v>143</v>
      </c>
      <c r="B1003" s="169">
        <v>8</v>
      </c>
      <c r="C1003" s="170"/>
      <c r="D1003" s="170"/>
      <c r="E1003" s="169"/>
      <c r="F1003" s="54" t="s">
        <v>69</v>
      </c>
      <c r="G1003" s="54" t="s">
        <v>69</v>
      </c>
      <c r="H1003" s="54"/>
    </row>
    <row r="1004" spans="1:8" x14ac:dyDescent="0.6">
      <c r="A1004" s="168" t="s">
        <v>143</v>
      </c>
      <c r="B1004" s="169">
        <v>8</v>
      </c>
      <c r="C1004" s="170"/>
      <c r="D1004" s="170"/>
      <c r="E1004" s="169"/>
      <c r="F1004" s="54" t="s">
        <v>69</v>
      </c>
      <c r="G1004" s="54" t="s">
        <v>69</v>
      </c>
      <c r="H1004" s="54"/>
    </row>
    <row r="1005" spans="1:8" x14ac:dyDescent="0.6">
      <c r="A1005" s="168" t="s">
        <v>143</v>
      </c>
      <c r="B1005" s="169">
        <v>8</v>
      </c>
      <c r="C1005" s="170"/>
      <c r="D1005" s="170"/>
      <c r="E1005" s="169"/>
      <c r="F1005" s="54" t="s">
        <v>69</v>
      </c>
      <c r="G1005" s="54" t="s">
        <v>69</v>
      </c>
      <c r="H1005" s="54"/>
    </row>
    <row r="1006" spans="1:8" x14ac:dyDescent="0.6">
      <c r="A1006" s="168" t="s">
        <v>144</v>
      </c>
      <c r="B1006" s="169">
        <v>8</v>
      </c>
      <c r="C1006" s="170"/>
      <c r="D1006" s="170"/>
      <c r="E1006" s="169"/>
      <c r="F1006" s="33" t="s">
        <v>68</v>
      </c>
      <c r="G1006" s="54"/>
      <c r="H1006" s="54"/>
    </row>
    <row r="1007" spans="1:8" x14ac:dyDescent="0.6">
      <c r="A1007" s="168" t="s">
        <v>144</v>
      </c>
      <c r="B1007" s="169">
        <v>8</v>
      </c>
      <c r="C1007" s="170"/>
      <c r="D1007" s="170"/>
      <c r="E1007" s="169"/>
      <c r="F1007" s="54" t="s">
        <v>69</v>
      </c>
      <c r="G1007" s="54" t="s">
        <v>69</v>
      </c>
      <c r="H1007" s="54"/>
    </row>
    <row r="1008" spans="1:8" x14ac:dyDescent="0.6">
      <c r="A1008" s="168" t="s">
        <v>144</v>
      </c>
      <c r="B1008" s="169">
        <v>8</v>
      </c>
      <c r="C1008" s="170"/>
      <c r="D1008" s="170"/>
      <c r="E1008" s="169"/>
      <c r="F1008" s="54" t="s">
        <v>69</v>
      </c>
      <c r="G1008" s="54" t="s">
        <v>69</v>
      </c>
      <c r="H1008" s="54"/>
    </row>
    <row r="1009" spans="1:8" x14ac:dyDescent="0.6">
      <c r="A1009" s="168" t="s">
        <v>144</v>
      </c>
      <c r="B1009" s="169">
        <v>8</v>
      </c>
      <c r="C1009" s="170"/>
      <c r="D1009" s="170"/>
      <c r="E1009" s="169"/>
      <c r="F1009" s="54" t="s">
        <v>69</v>
      </c>
      <c r="G1009" s="54" t="s">
        <v>69</v>
      </c>
      <c r="H1009" s="54"/>
    </row>
    <row r="1010" spans="1:8" x14ac:dyDescent="0.6">
      <c r="A1010" s="168" t="s">
        <v>145</v>
      </c>
      <c r="B1010" s="169">
        <v>8</v>
      </c>
      <c r="C1010" s="170"/>
      <c r="D1010" s="170"/>
      <c r="E1010" s="169"/>
      <c r="F1010" s="33" t="s">
        <v>68</v>
      </c>
      <c r="G1010" s="54"/>
      <c r="H1010" s="54"/>
    </row>
    <row r="1011" spans="1:8" x14ac:dyDescent="0.6">
      <c r="A1011" s="168" t="s">
        <v>145</v>
      </c>
      <c r="B1011" s="169">
        <v>8</v>
      </c>
      <c r="C1011" s="170"/>
      <c r="D1011" s="170"/>
      <c r="E1011" s="169"/>
      <c r="F1011" s="54" t="s">
        <v>69</v>
      </c>
      <c r="G1011" s="54" t="s">
        <v>69</v>
      </c>
      <c r="H1011" s="54"/>
    </row>
    <row r="1012" spans="1:8" x14ac:dyDescent="0.6">
      <c r="A1012" s="168" t="s">
        <v>145</v>
      </c>
      <c r="B1012" s="169">
        <v>8</v>
      </c>
      <c r="C1012" s="170"/>
      <c r="D1012" s="170"/>
      <c r="E1012" s="169"/>
      <c r="F1012" s="54" t="s">
        <v>58</v>
      </c>
      <c r="G1012" s="54" t="s">
        <v>59</v>
      </c>
      <c r="H1012" s="54"/>
    </row>
    <row r="1013" spans="1:8" x14ac:dyDescent="0.6">
      <c r="A1013" s="168" t="s">
        <v>146</v>
      </c>
      <c r="B1013" s="169">
        <v>8</v>
      </c>
      <c r="C1013" s="170"/>
      <c r="D1013" s="170"/>
      <c r="E1013" s="169"/>
      <c r="F1013" s="54" t="s">
        <v>69</v>
      </c>
      <c r="G1013" s="54" t="s">
        <v>69</v>
      </c>
      <c r="H1013" s="54"/>
    </row>
    <row r="1014" spans="1:8" x14ac:dyDescent="0.6">
      <c r="A1014" s="168" t="s">
        <v>146</v>
      </c>
      <c r="B1014" s="169">
        <v>8</v>
      </c>
      <c r="C1014" s="170"/>
      <c r="D1014" s="170"/>
      <c r="E1014" s="169"/>
      <c r="F1014" s="54" t="s">
        <v>69</v>
      </c>
      <c r="G1014" s="54" t="s">
        <v>69</v>
      </c>
      <c r="H1014" s="54"/>
    </row>
    <row r="1015" spans="1:8" x14ac:dyDescent="0.6">
      <c r="A1015" s="168" t="s">
        <v>146</v>
      </c>
      <c r="B1015" s="169">
        <v>8</v>
      </c>
      <c r="C1015" s="170"/>
      <c r="D1015" s="170"/>
      <c r="E1015" s="169"/>
      <c r="F1015" s="54" t="s">
        <v>69</v>
      </c>
      <c r="G1015" s="54" t="s">
        <v>69</v>
      </c>
      <c r="H1015" s="54"/>
    </row>
    <row r="1016" spans="1:8" x14ac:dyDescent="0.6">
      <c r="A1016" s="168" t="s">
        <v>146</v>
      </c>
      <c r="B1016" s="169">
        <v>8</v>
      </c>
      <c r="C1016" s="170"/>
      <c r="D1016" s="170"/>
      <c r="E1016" s="169"/>
      <c r="F1016" s="54" t="s">
        <v>69</v>
      </c>
      <c r="G1016" s="54" t="s">
        <v>69</v>
      </c>
      <c r="H1016" s="54"/>
    </row>
    <row r="1017" spans="1:8" x14ac:dyDescent="0.6">
      <c r="A1017" s="168" t="s">
        <v>146</v>
      </c>
      <c r="B1017" s="169">
        <v>8</v>
      </c>
      <c r="C1017" s="170"/>
      <c r="D1017" s="170"/>
      <c r="E1017" s="169"/>
      <c r="F1017" s="54" t="s">
        <v>58</v>
      </c>
      <c r="G1017" s="54" t="s">
        <v>67</v>
      </c>
      <c r="H1017" s="54"/>
    </row>
    <row r="1018" spans="1:8" x14ac:dyDescent="0.6">
      <c r="A1018" s="168" t="s">
        <v>146</v>
      </c>
      <c r="B1018" s="169">
        <v>8</v>
      </c>
      <c r="C1018" s="170"/>
      <c r="D1018" s="170"/>
      <c r="E1018" s="169"/>
      <c r="F1018" s="54" t="s">
        <v>58</v>
      </c>
      <c r="G1018" s="54" t="s">
        <v>67</v>
      </c>
      <c r="H1018" s="54"/>
    </row>
    <row r="1019" spans="1:8" x14ac:dyDescent="0.6">
      <c r="A1019" s="168" t="s">
        <v>146</v>
      </c>
      <c r="B1019" s="169">
        <v>8</v>
      </c>
      <c r="C1019" s="170"/>
      <c r="D1019" s="170"/>
      <c r="E1019" s="169"/>
      <c r="F1019" s="54" t="s">
        <v>58</v>
      </c>
      <c r="G1019" s="54" t="s">
        <v>67</v>
      </c>
      <c r="H1019" s="54"/>
    </row>
    <row r="1020" spans="1:8" x14ac:dyDescent="0.6">
      <c r="A1020" s="168" t="s">
        <v>146</v>
      </c>
      <c r="B1020" s="169">
        <v>8</v>
      </c>
      <c r="C1020" s="170"/>
      <c r="D1020" s="170"/>
      <c r="E1020" s="169"/>
      <c r="F1020" s="54" t="s">
        <v>58</v>
      </c>
      <c r="G1020" s="54" t="s">
        <v>59</v>
      </c>
      <c r="H1020" s="54"/>
    </row>
    <row r="1021" spans="1:8" x14ac:dyDescent="0.6">
      <c r="A1021" s="168" t="s">
        <v>147</v>
      </c>
      <c r="B1021" s="169">
        <v>8</v>
      </c>
      <c r="C1021" s="170"/>
      <c r="D1021" s="170"/>
      <c r="E1021" s="169"/>
      <c r="F1021" s="33" t="s">
        <v>64</v>
      </c>
      <c r="G1021" s="54"/>
      <c r="H1021" s="54"/>
    </row>
    <row r="1022" spans="1:8" x14ac:dyDescent="0.6">
      <c r="A1022" s="168" t="s">
        <v>147</v>
      </c>
      <c r="B1022" s="169">
        <v>8</v>
      </c>
      <c r="C1022" s="170"/>
      <c r="D1022" s="170"/>
      <c r="E1022" s="169"/>
      <c r="F1022" s="54" t="s">
        <v>60</v>
      </c>
      <c r="G1022" s="54" t="s">
        <v>67</v>
      </c>
      <c r="H1022" s="54"/>
    </row>
    <row r="1023" spans="1:8" x14ac:dyDescent="0.6">
      <c r="A1023" s="168" t="s">
        <v>147</v>
      </c>
      <c r="B1023" s="169">
        <v>8</v>
      </c>
      <c r="C1023" s="170"/>
      <c r="D1023" s="170"/>
      <c r="E1023" s="169"/>
      <c r="F1023" s="54" t="s">
        <v>60</v>
      </c>
      <c r="G1023" s="54" t="s">
        <v>61</v>
      </c>
      <c r="H1023" s="54"/>
    </row>
    <row r="1024" spans="1:8" x14ac:dyDescent="0.6">
      <c r="A1024" s="168" t="s">
        <v>147</v>
      </c>
      <c r="B1024" s="169">
        <v>8</v>
      </c>
      <c r="C1024" s="170"/>
      <c r="D1024" s="170"/>
      <c r="E1024" s="169"/>
      <c r="F1024" s="54" t="s">
        <v>69</v>
      </c>
      <c r="G1024" s="54" t="s">
        <v>69</v>
      </c>
      <c r="H1024" s="54"/>
    </row>
    <row r="1025" spans="1:8" x14ac:dyDescent="0.6">
      <c r="A1025" s="168" t="s">
        <v>147</v>
      </c>
      <c r="B1025" s="169">
        <v>8</v>
      </c>
      <c r="C1025" s="170"/>
      <c r="D1025" s="170"/>
      <c r="E1025" s="169"/>
      <c r="F1025" s="54" t="s">
        <v>69</v>
      </c>
      <c r="G1025" s="54" t="s">
        <v>69</v>
      </c>
      <c r="H1025" s="54"/>
    </row>
    <row r="1026" spans="1:8" x14ac:dyDescent="0.6">
      <c r="A1026" s="168" t="s">
        <v>147</v>
      </c>
      <c r="B1026" s="169">
        <v>8</v>
      </c>
      <c r="C1026" s="170"/>
      <c r="D1026" s="170"/>
      <c r="E1026" s="169"/>
      <c r="F1026" s="54" t="s">
        <v>69</v>
      </c>
      <c r="G1026" s="54" t="s">
        <v>69</v>
      </c>
      <c r="H1026" s="54"/>
    </row>
    <row r="1027" spans="1:8" x14ac:dyDescent="0.6">
      <c r="A1027" s="168" t="s">
        <v>147</v>
      </c>
      <c r="B1027" s="169">
        <v>8</v>
      </c>
      <c r="C1027" s="170"/>
      <c r="D1027" s="170"/>
      <c r="E1027" s="169"/>
      <c r="F1027" s="54" t="s">
        <v>65</v>
      </c>
      <c r="G1027" s="54"/>
      <c r="H1027" s="54"/>
    </row>
    <row r="1028" spans="1:8" x14ac:dyDescent="0.6">
      <c r="A1028" s="168" t="s">
        <v>147</v>
      </c>
      <c r="B1028" s="169">
        <v>8</v>
      </c>
      <c r="C1028" s="170"/>
      <c r="D1028" s="170"/>
      <c r="E1028" s="169"/>
      <c r="F1028" s="54" t="s">
        <v>65</v>
      </c>
      <c r="G1028" s="54"/>
      <c r="H1028" s="54"/>
    </row>
    <row r="1029" spans="1:8" x14ac:dyDescent="0.6">
      <c r="A1029" s="168" t="s">
        <v>147</v>
      </c>
      <c r="B1029" s="169">
        <v>8</v>
      </c>
      <c r="C1029" s="170"/>
      <c r="D1029" s="170"/>
      <c r="E1029" s="169"/>
      <c r="F1029" s="27" t="s">
        <v>63</v>
      </c>
      <c r="G1029" s="54"/>
      <c r="H1029" s="54"/>
    </row>
    <row r="1030" spans="1:8" x14ac:dyDescent="0.6">
      <c r="A1030" s="168" t="s">
        <v>147</v>
      </c>
      <c r="B1030" s="169">
        <v>8</v>
      </c>
      <c r="C1030" s="170"/>
      <c r="D1030" s="170"/>
      <c r="E1030" s="169"/>
      <c r="F1030" s="54" t="s">
        <v>58</v>
      </c>
      <c r="G1030" s="54" t="s">
        <v>67</v>
      </c>
      <c r="H1030" s="54"/>
    </row>
    <row r="1031" spans="1:8" x14ac:dyDescent="0.6">
      <c r="A1031" s="168" t="s">
        <v>147</v>
      </c>
      <c r="B1031" s="169">
        <v>8</v>
      </c>
      <c r="C1031" s="170"/>
      <c r="D1031" s="170"/>
      <c r="E1031" s="169"/>
      <c r="F1031" s="54" t="s">
        <v>58</v>
      </c>
      <c r="G1031" s="54" t="s">
        <v>59</v>
      </c>
      <c r="H1031" s="54"/>
    </row>
    <row r="1032" spans="1:8" x14ac:dyDescent="0.6">
      <c r="A1032" s="168" t="s">
        <v>147</v>
      </c>
      <c r="B1032" s="169">
        <v>8</v>
      </c>
      <c r="C1032" s="170"/>
      <c r="D1032" s="170"/>
      <c r="E1032" s="169"/>
      <c r="F1032" s="54" t="s">
        <v>58</v>
      </c>
      <c r="G1032" s="54" t="s">
        <v>67</v>
      </c>
      <c r="H1032" s="54"/>
    </row>
    <row r="1033" spans="1:8" x14ac:dyDescent="0.6">
      <c r="A1033" s="168" t="s">
        <v>147</v>
      </c>
      <c r="B1033" s="169">
        <v>8</v>
      </c>
      <c r="C1033" s="170"/>
      <c r="D1033" s="170"/>
      <c r="E1033" s="169"/>
      <c r="F1033" s="27" t="s">
        <v>63</v>
      </c>
      <c r="G1033" s="54"/>
      <c r="H1033" s="54"/>
    </row>
    <row r="1034" spans="1:8" x14ac:dyDescent="0.6">
      <c r="A1034" s="168" t="s">
        <v>147</v>
      </c>
      <c r="B1034" s="169">
        <v>8</v>
      </c>
      <c r="C1034" s="170"/>
      <c r="D1034" s="170"/>
      <c r="E1034" s="169"/>
      <c r="F1034" s="54" t="s">
        <v>65</v>
      </c>
      <c r="G1034" s="54"/>
      <c r="H1034" s="54"/>
    </row>
    <row r="1035" spans="1:8" x14ac:dyDescent="0.6">
      <c r="A1035" s="168" t="s">
        <v>147</v>
      </c>
      <c r="B1035" s="169">
        <v>8</v>
      </c>
      <c r="C1035" s="170"/>
      <c r="D1035" s="170"/>
      <c r="E1035" s="169"/>
      <c r="F1035" s="54" t="s">
        <v>65</v>
      </c>
      <c r="G1035" s="54"/>
      <c r="H1035" s="54"/>
    </row>
    <row r="1036" spans="1:8" x14ac:dyDescent="0.6">
      <c r="A1036" s="168" t="s">
        <v>147</v>
      </c>
      <c r="B1036" s="169">
        <v>8</v>
      </c>
      <c r="C1036" s="170"/>
      <c r="D1036" s="170"/>
      <c r="E1036" s="169"/>
      <c r="F1036" s="27" t="s">
        <v>63</v>
      </c>
      <c r="G1036" s="54"/>
      <c r="H1036" s="54"/>
    </row>
    <row r="1037" spans="1:8" x14ac:dyDescent="0.6">
      <c r="A1037" s="168" t="s">
        <v>147</v>
      </c>
      <c r="B1037" s="169">
        <v>8</v>
      </c>
      <c r="C1037" s="170"/>
      <c r="D1037" s="170"/>
      <c r="E1037" s="169"/>
      <c r="F1037" s="54" t="s">
        <v>65</v>
      </c>
      <c r="G1037" s="54"/>
      <c r="H1037" s="54"/>
    </row>
    <row r="1038" spans="1:8" x14ac:dyDescent="0.6">
      <c r="A1038" s="168" t="s">
        <v>148</v>
      </c>
      <c r="B1038" s="169">
        <v>8</v>
      </c>
      <c r="C1038" s="170"/>
      <c r="D1038" s="170"/>
      <c r="E1038" s="169"/>
      <c r="F1038" s="33" t="s">
        <v>68</v>
      </c>
      <c r="G1038" s="54"/>
      <c r="H1038" s="54"/>
    </row>
    <row r="1039" spans="1:8" x14ac:dyDescent="0.6">
      <c r="A1039" s="168" t="s">
        <v>148</v>
      </c>
      <c r="B1039" s="169">
        <v>8</v>
      </c>
      <c r="C1039" s="170"/>
      <c r="D1039" s="170"/>
      <c r="E1039" s="169"/>
      <c r="F1039" s="54" t="s">
        <v>69</v>
      </c>
      <c r="G1039" s="54" t="s">
        <v>69</v>
      </c>
      <c r="H1039" s="54"/>
    </row>
    <row r="1040" spans="1:8" x14ac:dyDescent="0.6">
      <c r="A1040" s="168" t="s">
        <v>149</v>
      </c>
      <c r="B1040" s="169">
        <v>8</v>
      </c>
      <c r="C1040" s="170"/>
      <c r="D1040" s="170"/>
      <c r="E1040" s="169"/>
      <c r="F1040" s="33" t="s">
        <v>68</v>
      </c>
      <c r="G1040" s="54"/>
      <c r="H1040" s="54"/>
    </row>
    <row r="1041" spans="1:8" x14ac:dyDescent="0.6">
      <c r="A1041" s="168" t="s">
        <v>149</v>
      </c>
      <c r="B1041" s="169">
        <v>8</v>
      </c>
      <c r="C1041" s="170"/>
      <c r="D1041" s="170"/>
      <c r="E1041" s="169"/>
      <c r="F1041" s="33" t="s">
        <v>68</v>
      </c>
      <c r="G1041" s="54"/>
      <c r="H1041" s="54"/>
    </row>
    <row r="1042" spans="1:8" x14ac:dyDescent="0.6">
      <c r="A1042" s="168" t="s">
        <v>149</v>
      </c>
      <c r="B1042" s="169">
        <v>8</v>
      </c>
      <c r="C1042" s="170"/>
      <c r="D1042" s="170"/>
      <c r="E1042" s="169"/>
      <c r="F1042" s="33" t="s">
        <v>68</v>
      </c>
      <c r="G1042" s="54"/>
      <c r="H1042" s="54"/>
    </row>
    <row r="1043" spans="1:8" x14ac:dyDescent="0.6">
      <c r="A1043" s="168" t="s">
        <v>149</v>
      </c>
      <c r="B1043" s="169">
        <v>8</v>
      </c>
      <c r="C1043" s="170"/>
      <c r="D1043" s="170"/>
      <c r="E1043" s="169"/>
      <c r="F1043" s="33" t="s">
        <v>68</v>
      </c>
      <c r="G1043" s="54"/>
      <c r="H1043" s="54"/>
    </row>
    <row r="1044" spans="1:8" x14ac:dyDescent="0.6">
      <c r="A1044" s="168" t="s">
        <v>149</v>
      </c>
      <c r="B1044" s="169">
        <v>8</v>
      </c>
      <c r="C1044" s="170"/>
      <c r="D1044" s="170"/>
      <c r="E1044" s="169"/>
      <c r="F1044" s="54" t="s">
        <v>69</v>
      </c>
      <c r="G1044" s="54" t="s">
        <v>69</v>
      </c>
      <c r="H1044" s="54"/>
    </row>
    <row r="1045" spans="1:8" x14ac:dyDescent="0.6">
      <c r="A1045" s="168" t="s">
        <v>149</v>
      </c>
      <c r="B1045" s="169">
        <v>8</v>
      </c>
      <c r="C1045" s="170"/>
      <c r="D1045" s="170"/>
      <c r="E1045" s="169"/>
      <c r="F1045" s="54" t="s">
        <v>58</v>
      </c>
      <c r="G1045" s="54" t="s">
        <v>59</v>
      </c>
      <c r="H1045" s="54"/>
    </row>
    <row r="1046" spans="1:8" x14ac:dyDescent="0.6">
      <c r="A1046" s="168" t="s">
        <v>149</v>
      </c>
      <c r="B1046" s="169">
        <v>8</v>
      </c>
      <c r="C1046" s="170"/>
      <c r="D1046" s="170"/>
      <c r="E1046" s="169"/>
      <c r="F1046" s="54" t="s">
        <v>58</v>
      </c>
      <c r="G1046" s="54" t="s">
        <v>59</v>
      </c>
      <c r="H1046" s="54"/>
    </row>
    <row r="1047" spans="1:8" x14ac:dyDescent="0.6">
      <c r="A1047" s="168" t="s">
        <v>149</v>
      </c>
      <c r="B1047" s="169">
        <v>8</v>
      </c>
      <c r="C1047" s="170"/>
      <c r="D1047" s="170"/>
      <c r="E1047" s="169"/>
      <c r="F1047" s="54" t="s">
        <v>58</v>
      </c>
      <c r="G1047" s="54" t="s">
        <v>59</v>
      </c>
      <c r="H1047" s="54"/>
    </row>
    <row r="1048" spans="1:8" x14ac:dyDescent="0.6">
      <c r="A1048" s="168" t="s">
        <v>149</v>
      </c>
      <c r="B1048" s="169">
        <v>8</v>
      </c>
      <c r="C1048" s="170"/>
      <c r="D1048" s="170"/>
      <c r="E1048" s="169"/>
      <c r="F1048" s="33" t="s">
        <v>68</v>
      </c>
      <c r="G1048" s="54"/>
      <c r="H1048" s="54"/>
    </row>
    <row r="1049" spans="1:8" x14ac:dyDescent="0.6">
      <c r="A1049" s="168" t="s">
        <v>150</v>
      </c>
      <c r="B1049" s="169">
        <v>8</v>
      </c>
      <c r="C1049" s="170"/>
      <c r="D1049" s="170"/>
      <c r="E1049" s="169"/>
      <c r="F1049" s="33" t="s">
        <v>68</v>
      </c>
      <c r="G1049" s="54"/>
      <c r="H1049" s="54"/>
    </row>
    <row r="1050" spans="1:8" x14ac:dyDescent="0.6">
      <c r="A1050" s="168" t="s">
        <v>150</v>
      </c>
      <c r="B1050" s="169">
        <v>8</v>
      </c>
      <c r="C1050" s="170"/>
      <c r="D1050" s="170"/>
      <c r="E1050" s="169"/>
      <c r="F1050" s="54" t="s">
        <v>69</v>
      </c>
      <c r="G1050" s="54" t="s">
        <v>69</v>
      </c>
      <c r="H1050" s="54"/>
    </row>
    <row r="1051" spans="1:8" x14ac:dyDescent="0.6">
      <c r="A1051" s="168" t="s">
        <v>150</v>
      </c>
      <c r="B1051" s="169">
        <v>8</v>
      </c>
      <c r="C1051" s="170"/>
      <c r="D1051" s="170"/>
      <c r="E1051" s="169"/>
      <c r="F1051" s="54" t="s">
        <v>58</v>
      </c>
      <c r="G1051" s="54" t="s">
        <v>59</v>
      </c>
      <c r="H1051" s="54"/>
    </row>
    <row r="1052" spans="1:8" x14ac:dyDescent="0.6">
      <c r="A1052" s="168" t="s">
        <v>150</v>
      </c>
      <c r="B1052" s="169">
        <v>8</v>
      </c>
      <c r="C1052" s="170"/>
      <c r="D1052" s="170"/>
      <c r="E1052" s="169"/>
      <c r="F1052" s="54" t="s">
        <v>58</v>
      </c>
      <c r="G1052" s="54" t="s">
        <v>44</v>
      </c>
      <c r="H1052" s="54"/>
    </row>
    <row r="1053" spans="1:8" x14ac:dyDescent="0.6">
      <c r="A1053" s="168" t="s">
        <v>151</v>
      </c>
      <c r="B1053" s="169">
        <v>8</v>
      </c>
      <c r="C1053" s="170"/>
      <c r="D1053" s="170"/>
      <c r="E1053" s="169"/>
      <c r="F1053" s="33" t="s">
        <v>68</v>
      </c>
      <c r="G1053" s="54"/>
      <c r="H1053" s="54"/>
    </row>
    <row r="1054" spans="1:8" x14ac:dyDescent="0.6">
      <c r="A1054" s="168" t="s">
        <v>151</v>
      </c>
      <c r="B1054" s="169">
        <v>8</v>
      </c>
      <c r="C1054" s="170"/>
      <c r="D1054" s="170"/>
      <c r="E1054" s="169"/>
      <c r="F1054" s="54" t="s">
        <v>69</v>
      </c>
      <c r="G1054" s="54" t="s">
        <v>69</v>
      </c>
      <c r="H1054" s="54"/>
    </row>
    <row r="1055" spans="1:8" x14ac:dyDescent="0.6">
      <c r="A1055" s="168" t="s">
        <v>151</v>
      </c>
      <c r="B1055" s="169">
        <v>8</v>
      </c>
      <c r="C1055" s="170"/>
      <c r="D1055" s="170"/>
      <c r="E1055" s="169"/>
      <c r="F1055" s="54" t="s">
        <v>58</v>
      </c>
      <c r="G1055" s="54" t="s">
        <v>67</v>
      </c>
      <c r="H1055" s="54"/>
    </row>
    <row r="1056" spans="1:8" x14ac:dyDescent="0.6">
      <c r="A1056" s="168" t="s">
        <v>151</v>
      </c>
      <c r="B1056" s="169">
        <v>8</v>
      </c>
      <c r="C1056" s="170"/>
      <c r="D1056" s="170"/>
      <c r="E1056" s="169"/>
      <c r="F1056" s="54" t="s">
        <v>69</v>
      </c>
      <c r="G1056" s="54" t="s">
        <v>69</v>
      </c>
      <c r="H1056" s="54"/>
    </row>
    <row r="1057" spans="1:8" x14ac:dyDescent="0.6">
      <c r="A1057" s="168" t="s">
        <v>152</v>
      </c>
      <c r="B1057" s="169">
        <v>8</v>
      </c>
      <c r="C1057" s="170"/>
      <c r="D1057" s="170"/>
      <c r="E1057" s="169"/>
      <c r="F1057" s="33" t="s">
        <v>68</v>
      </c>
      <c r="G1057" s="54"/>
      <c r="H1057" s="54"/>
    </row>
    <row r="1058" spans="1:8" x14ac:dyDescent="0.6">
      <c r="A1058" s="168" t="s">
        <v>152</v>
      </c>
      <c r="B1058" s="169">
        <v>8</v>
      </c>
      <c r="C1058" s="170"/>
      <c r="D1058" s="170"/>
      <c r="E1058" s="169"/>
      <c r="F1058" s="27" t="s">
        <v>63</v>
      </c>
      <c r="G1058" s="54"/>
      <c r="H1058" s="54"/>
    </row>
    <row r="1059" spans="1:8" x14ac:dyDescent="0.6">
      <c r="A1059" s="168" t="s">
        <v>152</v>
      </c>
      <c r="B1059" s="169">
        <v>8</v>
      </c>
      <c r="C1059" s="170"/>
      <c r="D1059" s="170"/>
      <c r="E1059" s="169"/>
      <c r="F1059" s="54" t="s">
        <v>58</v>
      </c>
      <c r="G1059" s="54" t="s">
        <v>59</v>
      </c>
      <c r="H1059" s="54"/>
    </row>
    <row r="1060" spans="1:8" x14ac:dyDescent="0.6">
      <c r="A1060" s="168" t="s">
        <v>152</v>
      </c>
      <c r="B1060" s="169">
        <v>8</v>
      </c>
      <c r="C1060" s="170"/>
      <c r="D1060" s="170"/>
      <c r="E1060" s="169"/>
      <c r="F1060" s="54" t="s">
        <v>60</v>
      </c>
      <c r="G1060" s="54" t="s">
        <v>67</v>
      </c>
      <c r="H1060" s="54"/>
    </row>
    <row r="1061" spans="1:8" x14ac:dyDescent="0.6">
      <c r="A1061" s="168" t="s">
        <v>152</v>
      </c>
      <c r="B1061" s="169">
        <v>8</v>
      </c>
      <c r="C1061" s="170"/>
      <c r="D1061" s="170"/>
      <c r="E1061" s="169"/>
      <c r="F1061" s="27" t="s">
        <v>63</v>
      </c>
      <c r="G1061" s="54"/>
      <c r="H1061" s="54"/>
    </row>
    <row r="1062" spans="1:8" x14ac:dyDescent="0.6">
      <c r="A1062" s="168" t="s">
        <v>153</v>
      </c>
      <c r="B1062" s="169">
        <v>8</v>
      </c>
      <c r="C1062" s="170"/>
      <c r="D1062" s="170"/>
      <c r="E1062" s="169"/>
      <c r="F1062" s="54" t="s">
        <v>69</v>
      </c>
      <c r="G1062" s="54" t="s">
        <v>69</v>
      </c>
      <c r="H1062" s="54"/>
    </row>
    <row r="1063" spans="1:8" x14ac:dyDescent="0.6">
      <c r="A1063" s="168" t="s">
        <v>153</v>
      </c>
      <c r="B1063" s="169">
        <v>8</v>
      </c>
      <c r="C1063" s="170"/>
      <c r="D1063" s="170"/>
      <c r="E1063" s="169"/>
      <c r="F1063" s="27" t="s">
        <v>63</v>
      </c>
      <c r="G1063" s="54"/>
      <c r="H1063" s="54"/>
    </row>
    <row r="1064" spans="1:8" x14ac:dyDescent="0.6">
      <c r="A1064" s="168" t="s">
        <v>153</v>
      </c>
      <c r="B1064" s="169">
        <v>8</v>
      </c>
      <c r="C1064" s="170"/>
      <c r="D1064" s="170"/>
      <c r="E1064" s="169"/>
      <c r="F1064" s="54" t="s">
        <v>58</v>
      </c>
      <c r="G1064" s="54" t="s">
        <v>59</v>
      </c>
      <c r="H1064" s="54"/>
    </row>
    <row r="1065" spans="1:8" x14ac:dyDescent="0.6">
      <c r="A1065" s="168" t="s">
        <v>154</v>
      </c>
      <c r="B1065" s="169">
        <v>8</v>
      </c>
      <c r="C1065" s="170"/>
      <c r="D1065" s="170"/>
      <c r="E1065" s="169"/>
      <c r="F1065" s="54" t="s">
        <v>69</v>
      </c>
      <c r="G1065" s="54" t="s">
        <v>69</v>
      </c>
      <c r="H1065" s="54"/>
    </row>
    <row r="1066" spans="1:8" x14ac:dyDescent="0.6">
      <c r="A1066" s="168" t="s">
        <v>154</v>
      </c>
      <c r="B1066" s="169">
        <v>8</v>
      </c>
      <c r="C1066" s="170"/>
      <c r="D1066" s="170"/>
      <c r="E1066" s="169"/>
      <c r="F1066" s="54"/>
      <c r="G1066" s="54"/>
      <c r="H1066" s="54"/>
    </row>
    <row r="1067" spans="1:8" x14ac:dyDescent="0.6">
      <c r="A1067" s="168" t="s">
        <v>154</v>
      </c>
      <c r="B1067" s="169">
        <v>8</v>
      </c>
      <c r="C1067" s="170"/>
      <c r="D1067" s="170"/>
      <c r="E1067" s="169"/>
      <c r="F1067" s="54"/>
      <c r="G1067" s="54"/>
      <c r="H1067" s="54"/>
    </row>
    <row r="1068" spans="1:8" x14ac:dyDescent="0.6">
      <c r="A1068" s="168" t="s">
        <v>154</v>
      </c>
      <c r="B1068" s="169">
        <v>8</v>
      </c>
      <c r="C1068" s="170"/>
      <c r="D1068" s="170"/>
      <c r="E1068" s="169"/>
      <c r="F1068" s="27" t="s">
        <v>63</v>
      </c>
      <c r="G1068" s="54"/>
      <c r="H1068" s="54"/>
    </row>
    <row r="1069" spans="1:8" x14ac:dyDescent="0.6">
      <c r="A1069" s="168" t="s">
        <v>155</v>
      </c>
      <c r="B1069" s="169">
        <v>8</v>
      </c>
      <c r="C1069" s="170"/>
      <c r="D1069" s="170"/>
      <c r="E1069" s="169"/>
      <c r="F1069" s="33" t="s">
        <v>68</v>
      </c>
      <c r="G1069" s="54"/>
      <c r="H1069" s="54"/>
    </row>
    <row r="1070" spans="1:8" x14ac:dyDescent="0.6">
      <c r="A1070" s="168" t="s">
        <v>155</v>
      </c>
      <c r="B1070" s="169">
        <v>8</v>
      </c>
      <c r="C1070" s="170"/>
      <c r="D1070" s="170"/>
      <c r="E1070" s="169"/>
      <c r="F1070" s="54"/>
      <c r="G1070" s="54"/>
      <c r="H1070" s="54"/>
    </row>
    <row r="1071" spans="1:8" x14ac:dyDescent="0.6">
      <c r="A1071" s="168" t="s">
        <v>155</v>
      </c>
      <c r="B1071" s="169">
        <v>8</v>
      </c>
      <c r="C1071" s="170"/>
      <c r="D1071" s="170"/>
      <c r="E1071" s="169"/>
      <c r="F1071" s="54" t="s">
        <v>60</v>
      </c>
      <c r="G1071" s="54" t="s">
        <v>70</v>
      </c>
      <c r="H1071" s="54"/>
    </row>
    <row r="1072" spans="1:8" x14ac:dyDescent="0.6">
      <c r="A1072" s="168" t="s">
        <v>155</v>
      </c>
      <c r="B1072" s="169">
        <v>8</v>
      </c>
      <c r="C1072" s="170"/>
      <c r="D1072" s="170"/>
      <c r="E1072" s="169"/>
      <c r="F1072" s="54" t="s">
        <v>60</v>
      </c>
      <c r="G1072" s="54" t="s">
        <v>70</v>
      </c>
      <c r="H1072" s="54"/>
    </row>
    <row r="1073" spans="1:8" x14ac:dyDescent="0.6">
      <c r="A1073" s="168" t="s">
        <v>155</v>
      </c>
      <c r="B1073" s="169">
        <v>8</v>
      </c>
      <c r="C1073" s="170"/>
      <c r="D1073" s="170"/>
      <c r="E1073" s="169"/>
      <c r="F1073" s="54" t="s">
        <v>60</v>
      </c>
      <c r="G1073" s="54" t="s">
        <v>67</v>
      </c>
      <c r="H1073" s="54"/>
    </row>
    <row r="1074" spans="1:8" x14ac:dyDescent="0.6">
      <c r="A1074" s="168" t="s">
        <v>155</v>
      </c>
      <c r="B1074" s="169">
        <v>8</v>
      </c>
      <c r="C1074" s="170"/>
      <c r="D1074" s="170"/>
      <c r="E1074" s="169"/>
      <c r="F1074" s="54" t="s">
        <v>60</v>
      </c>
      <c r="G1074" s="54" t="s">
        <v>61</v>
      </c>
      <c r="H1074" s="54"/>
    </row>
    <row r="1075" spans="1:8" x14ac:dyDescent="0.6">
      <c r="A1075" s="168" t="s">
        <v>155</v>
      </c>
      <c r="B1075" s="169">
        <v>8</v>
      </c>
      <c r="C1075" s="170"/>
      <c r="D1075" s="170"/>
      <c r="E1075" s="169"/>
      <c r="F1075" s="54" t="s">
        <v>60</v>
      </c>
      <c r="G1075" s="54" t="s">
        <v>70</v>
      </c>
      <c r="H1075" s="54"/>
    </row>
    <row r="1076" spans="1:8" x14ac:dyDescent="0.6">
      <c r="A1076" s="168" t="s">
        <v>155</v>
      </c>
      <c r="B1076" s="169">
        <v>8</v>
      </c>
      <c r="C1076" s="170"/>
      <c r="D1076" s="170"/>
      <c r="E1076" s="169"/>
      <c r="F1076" s="54" t="s">
        <v>69</v>
      </c>
      <c r="G1076" s="54" t="s">
        <v>69</v>
      </c>
      <c r="H1076" s="54"/>
    </row>
    <row r="1077" spans="1:8" x14ac:dyDescent="0.6">
      <c r="A1077" s="168" t="s">
        <v>155</v>
      </c>
      <c r="B1077" s="169">
        <v>8</v>
      </c>
      <c r="C1077" s="170"/>
      <c r="D1077" s="170"/>
      <c r="E1077" s="169"/>
      <c r="F1077" s="54" t="s">
        <v>69</v>
      </c>
      <c r="G1077" s="54" t="s">
        <v>69</v>
      </c>
      <c r="H1077" s="54"/>
    </row>
    <row r="1078" spans="1:8" x14ac:dyDescent="0.6">
      <c r="A1078" s="168" t="s">
        <v>155</v>
      </c>
      <c r="B1078" s="169">
        <v>8</v>
      </c>
      <c r="C1078" s="170"/>
      <c r="D1078" s="170"/>
      <c r="E1078" s="169"/>
      <c r="F1078" s="54" t="s">
        <v>65</v>
      </c>
      <c r="G1078" s="54"/>
      <c r="H1078" s="54"/>
    </row>
    <row r="1079" spans="1:8" x14ac:dyDescent="0.6">
      <c r="A1079" s="168" t="s">
        <v>155</v>
      </c>
      <c r="B1079" s="169">
        <v>8</v>
      </c>
      <c r="C1079" s="170"/>
      <c r="D1079" s="170"/>
      <c r="E1079" s="169"/>
      <c r="F1079" s="54" t="s">
        <v>58</v>
      </c>
      <c r="G1079" s="54" t="s">
        <v>44</v>
      </c>
      <c r="H1079" s="54"/>
    </row>
    <row r="1080" spans="1:8" x14ac:dyDescent="0.6">
      <c r="A1080" s="168" t="s">
        <v>155</v>
      </c>
      <c r="B1080" s="169">
        <v>8</v>
      </c>
      <c r="C1080" s="170"/>
      <c r="D1080" s="170"/>
      <c r="E1080" s="169"/>
      <c r="F1080" s="54" t="s">
        <v>60</v>
      </c>
      <c r="G1080" s="54" t="s">
        <v>77</v>
      </c>
      <c r="H1080" s="54"/>
    </row>
    <row r="1081" spans="1:8" x14ac:dyDescent="0.6">
      <c r="A1081" s="168" t="s">
        <v>155</v>
      </c>
      <c r="B1081" s="169">
        <v>8</v>
      </c>
      <c r="C1081" s="170"/>
      <c r="D1081" s="170"/>
      <c r="E1081" s="169"/>
      <c r="F1081" s="54" t="s">
        <v>60</v>
      </c>
      <c r="G1081" s="54" t="s">
        <v>61</v>
      </c>
      <c r="H1081" s="54"/>
    </row>
    <row r="1082" spans="1:8" x14ac:dyDescent="0.6">
      <c r="A1082" s="168" t="s">
        <v>155</v>
      </c>
      <c r="B1082" s="169">
        <v>8</v>
      </c>
      <c r="C1082" s="170"/>
      <c r="D1082" s="170"/>
      <c r="E1082" s="169"/>
      <c r="F1082" s="54" t="s">
        <v>60</v>
      </c>
      <c r="G1082" s="54" t="s">
        <v>70</v>
      </c>
      <c r="H1082" s="54"/>
    </row>
    <row r="1083" spans="1:8" x14ac:dyDescent="0.6">
      <c r="A1083" s="168" t="s">
        <v>155</v>
      </c>
      <c r="B1083" s="169">
        <v>8</v>
      </c>
      <c r="C1083" s="170"/>
      <c r="D1083" s="170"/>
      <c r="E1083" s="169"/>
      <c r="F1083" s="54" t="s">
        <v>58</v>
      </c>
      <c r="G1083" s="54" t="s">
        <v>59</v>
      </c>
      <c r="H1083" s="54"/>
    </row>
    <row r="1084" spans="1:8" x14ac:dyDescent="0.6">
      <c r="A1084" s="168" t="s">
        <v>155</v>
      </c>
      <c r="B1084" s="169">
        <v>8</v>
      </c>
      <c r="C1084" s="170"/>
      <c r="D1084" s="170"/>
      <c r="E1084" s="169"/>
      <c r="F1084" s="54"/>
      <c r="G1084" s="54"/>
      <c r="H1084" s="54"/>
    </row>
    <row r="1085" spans="1:8" x14ac:dyDescent="0.6">
      <c r="A1085" s="168" t="s">
        <v>155</v>
      </c>
      <c r="B1085" s="169">
        <v>8</v>
      </c>
      <c r="C1085" s="170"/>
      <c r="D1085" s="170"/>
      <c r="E1085" s="169"/>
      <c r="F1085" s="54" t="s">
        <v>65</v>
      </c>
      <c r="G1085" s="54"/>
      <c r="H1085" s="54"/>
    </row>
    <row r="1086" spans="1:8" x14ac:dyDescent="0.6">
      <c r="A1086" s="168" t="s">
        <v>156</v>
      </c>
      <c r="B1086" s="169">
        <v>8</v>
      </c>
      <c r="C1086" s="170"/>
      <c r="D1086" s="170"/>
      <c r="E1086" s="169"/>
      <c r="F1086" s="33" t="s">
        <v>68</v>
      </c>
      <c r="G1086" s="54"/>
      <c r="H1086" s="54"/>
    </row>
    <row r="1087" spans="1:8" x14ac:dyDescent="0.6">
      <c r="A1087" s="168" t="s">
        <v>156</v>
      </c>
      <c r="B1087" s="169">
        <v>8</v>
      </c>
      <c r="C1087" s="170"/>
      <c r="D1087" s="170"/>
      <c r="E1087" s="169"/>
      <c r="F1087" s="33" t="s">
        <v>64</v>
      </c>
      <c r="G1087" s="54"/>
      <c r="H1087" s="54"/>
    </row>
    <row r="1088" spans="1:8" x14ac:dyDescent="0.6">
      <c r="A1088" s="168" t="s">
        <v>156</v>
      </c>
      <c r="B1088" s="169">
        <v>8</v>
      </c>
      <c r="C1088" s="170"/>
      <c r="D1088" s="170"/>
      <c r="E1088" s="169"/>
      <c r="F1088" s="33" t="s">
        <v>68</v>
      </c>
      <c r="G1088" s="54"/>
      <c r="H1088" s="54"/>
    </row>
    <row r="1089" spans="1:8" x14ac:dyDescent="0.6">
      <c r="A1089" s="168" t="s">
        <v>157</v>
      </c>
      <c r="B1089" s="169">
        <v>8</v>
      </c>
      <c r="C1089" s="170"/>
      <c r="D1089" s="170"/>
      <c r="E1089" s="169"/>
      <c r="F1089" s="54" t="s">
        <v>60</v>
      </c>
      <c r="G1089" s="54" t="s">
        <v>67</v>
      </c>
      <c r="H1089" s="54"/>
    </row>
    <row r="1090" spans="1:8" x14ac:dyDescent="0.6">
      <c r="A1090" s="168" t="s">
        <v>158</v>
      </c>
      <c r="B1090" s="169">
        <v>8</v>
      </c>
      <c r="C1090" s="170"/>
      <c r="D1090" s="170"/>
      <c r="E1090" s="169"/>
      <c r="F1090" s="54" t="s">
        <v>69</v>
      </c>
      <c r="G1090" s="54" t="s">
        <v>69</v>
      </c>
      <c r="H1090" s="54"/>
    </row>
    <row r="1091" spans="1:8" x14ac:dyDescent="0.6">
      <c r="A1091" s="168" t="s">
        <v>159</v>
      </c>
      <c r="B1091" s="169">
        <v>8</v>
      </c>
      <c r="C1091" s="170"/>
      <c r="D1091" s="170"/>
      <c r="E1091" s="169"/>
      <c r="F1091" s="171" t="s">
        <v>60</v>
      </c>
      <c r="G1091" s="54" t="s">
        <v>73</v>
      </c>
      <c r="H1091" s="54"/>
    </row>
    <row r="1092" spans="1:8" x14ac:dyDescent="0.6">
      <c r="A1092" s="168" t="s">
        <v>159</v>
      </c>
      <c r="B1092" s="169">
        <v>8</v>
      </c>
      <c r="C1092" s="170"/>
      <c r="D1092" s="170"/>
      <c r="E1092" s="169"/>
      <c r="F1092" s="171" t="s">
        <v>60</v>
      </c>
      <c r="G1092" s="54" t="s">
        <v>73</v>
      </c>
      <c r="H1092" s="54"/>
    </row>
    <row r="1093" spans="1:8" x14ac:dyDescent="0.6">
      <c r="A1093" s="168" t="s">
        <v>159</v>
      </c>
      <c r="B1093" s="169">
        <v>8</v>
      </c>
      <c r="C1093" s="170"/>
      <c r="D1093" s="170"/>
      <c r="E1093" s="169"/>
      <c r="F1093" s="171" t="s">
        <v>58</v>
      </c>
      <c r="G1093" s="48" t="s">
        <v>76</v>
      </c>
      <c r="H1093" s="54"/>
    </row>
    <row r="1094" spans="1:8" x14ac:dyDescent="0.6">
      <c r="A1094" s="168" t="s">
        <v>159</v>
      </c>
      <c r="B1094" s="169">
        <v>8</v>
      </c>
      <c r="C1094" s="170"/>
      <c r="D1094" s="170"/>
      <c r="E1094" s="169"/>
      <c r="F1094" s="171" t="s">
        <v>60</v>
      </c>
      <c r="G1094" s="54" t="s">
        <v>61</v>
      </c>
      <c r="H1094" s="54"/>
    </row>
    <row r="1095" spans="1:8" x14ac:dyDescent="0.6">
      <c r="A1095" s="168" t="s">
        <v>159</v>
      </c>
      <c r="B1095" s="169">
        <v>8</v>
      </c>
      <c r="C1095" s="170"/>
      <c r="D1095" s="170"/>
      <c r="E1095" s="169"/>
      <c r="F1095" s="171" t="s">
        <v>60</v>
      </c>
      <c r="G1095" s="54" t="s">
        <v>61</v>
      </c>
      <c r="H1095" s="54"/>
    </row>
    <row r="1096" spans="1:8" x14ac:dyDescent="0.6">
      <c r="A1096" s="168" t="s">
        <v>159</v>
      </c>
      <c r="B1096" s="169">
        <v>8</v>
      </c>
      <c r="C1096" s="170"/>
      <c r="D1096" s="170"/>
      <c r="E1096" s="169"/>
      <c r="F1096" s="171" t="s">
        <v>65</v>
      </c>
      <c r="G1096" s="54"/>
      <c r="H1096" s="54"/>
    </row>
    <row r="1097" spans="1:8" x14ac:dyDescent="0.6">
      <c r="A1097" s="168" t="s">
        <v>159</v>
      </c>
      <c r="B1097" s="169">
        <v>8</v>
      </c>
      <c r="C1097" s="170"/>
      <c r="D1097" s="170"/>
      <c r="E1097" s="169"/>
      <c r="F1097" s="171" t="s">
        <v>69</v>
      </c>
      <c r="G1097" s="54" t="s">
        <v>69</v>
      </c>
      <c r="H1097" s="54"/>
    </row>
    <row r="1098" spans="1:8" x14ac:dyDescent="0.6">
      <c r="A1098" s="168" t="s">
        <v>159</v>
      </c>
      <c r="B1098" s="169">
        <v>8</v>
      </c>
      <c r="C1098" s="170"/>
      <c r="D1098" s="170"/>
      <c r="E1098" s="169"/>
      <c r="F1098" s="29" t="s">
        <v>37</v>
      </c>
      <c r="G1098" s="54"/>
      <c r="H1098" s="54"/>
    </row>
    <row r="1099" spans="1:8" x14ac:dyDescent="0.6">
      <c r="A1099" s="168" t="s">
        <v>159</v>
      </c>
      <c r="B1099" s="169">
        <v>8</v>
      </c>
      <c r="C1099" s="170"/>
      <c r="D1099" s="170"/>
      <c r="E1099" s="169"/>
      <c r="F1099" s="171" t="s">
        <v>58</v>
      </c>
      <c r="G1099" s="54" t="s">
        <v>67</v>
      </c>
      <c r="H1099" s="54"/>
    </row>
    <row r="1100" spans="1:8" x14ac:dyDescent="0.6">
      <c r="A1100" s="168" t="s">
        <v>159</v>
      </c>
      <c r="B1100" s="169">
        <v>8</v>
      </c>
      <c r="C1100" s="170"/>
      <c r="D1100" s="170"/>
      <c r="E1100" s="169"/>
      <c r="F1100" s="171" t="s">
        <v>58</v>
      </c>
      <c r="G1100" s="48" t="s">
        <v>76</v>
      </c>
      <c r="H1100" s="54"/>
    </row>
    <row r="1101" spans="1:8" x14ac:dyDescent="0.6">
      <c r="A1101" s="168" t="s">
        <v>159</v>
      </c>
      <c r="B1101" s="169">
        <v>8</v>
      </c>
      <c r="C1101" s="170"/>
      <c r="D1101" s="170"/>
      <c r="E1101" s="169"/>
      <c r="F1101" s="171" t="s">
        <v>60</v>
      </c>
      <c r="G1101" s="54" t="s">
        <v>67</v>
      </c>
      <c r="H1101" s="54"/>
    </row>
    <row r="1102" spans="1:8" x14ac:dyDescent="0.6">
      <c r="A1102" s="168" t="s">
        <v>159</v>
      </c>
      <c r="B1102" s="169">
        <v>8</v>
      </c>
      <c r="C1102" s="170"/>
      <c r="D1102" s="170"/>
      <c r="E1102" s="169"/>
      <c r="F1102" s="171" t="s">
        <v>58</v>
      </c>
      <c r="G1102" s="54" t="s">
        <v>44</v>
      </c>
      <c r="H1102" s="54"/>
    </row>
    <row r="1103" spans="1:8" x14ac:dyDescent="0.6">
      <c r="A1103" s="168" t="s">
        <v>159</v>
      </c>
      <c r="B1103" s="169">
        <v>8</v>
      </c>
      <c r="C1103" s="170"/>
      <c r="D1103" s="170"/>
      <c r="E1103" s="169"/>
      <c r="F1103" s="54" t="s">
        <v>60</v>
      </c>
      <c r="G1103" s="54" t="s">
        <v>67</v>
      </c>
      <c r="H1103" s="54"/>
    </row>
    <row r="1104" spans="1:8" x14ac:dyDescent="0.6">
      <c r="A1104" s="168" t="s">
        <v>159</v>
      </c>
      <c r="B1104" s="169">
        <v>8</v>
      </c>
      <c r="C1104" s="170"/>
      <c r="D1104" s="170"/>
      <c r="E1104" s="169"/>
      <c r="F1104" s="171" t="s">
        <v>60</v>
      </c>
      <c r="G1104" s="54" t="s">
        <v>61</v>
      </c>
      <c r="H1104" s="54"/>
    </row>
    <row r="1105" spans="1:8" x14ac:dyDescent="0.6">
      <c r="A1105" s="168" t="s">
        <v>159</v>
      </c>
      <c r="B1105" s="169">
        <v>8</v>
      </c>
      <c r="C1105" s="170"/>
      <c r="D1105" s="170"/>
      <c r="E1105" s="169"/>
      <c r="F1105" s="171" t="s">
        <v>58</v>
      </c>
      <c r="G1105" s="54" t="s">
        <v>72</v>
      </c>
      <c r="H1105" s="54"/>
    </row>
    <row r="1106" spans="1:8" x14ac:dyDescent="0.6">
      <c r="A1106" s="168" t="s">
        <v>159</v>
      </c>
      <c r="B1106" s="169">
        <v>8</v>
      </c>
      <c r="C1106" s="170"/>
      <c r="D1106" s="170"/>
      <c r="E1106" s="169"/>
      <c r="F1106" s="171" t="s">
        <v>60</v>
      </c>
      <c r="G1106" s="54" t="s">
        <v>67</v>
      </c>
      <c r="H1106" s="54"/>
    </row>
    <row r="1107" spans="1:8" x14ac:dyDescent="0.6">
      <c r="A1107" s="168" t="s">
        <v>159</v>
      </c>
      <c r="B1107" s="169">
        <v>8</v>
      </c>
      <c r="C1107" s="170"/>
      <c r="D1107" s="170"/>
      <c r="E1107" s="169"/>
      <c r="F1107" s="171" t="s">
        <v>60</v>
      </c>
      <c r="G1107" s="54" t="s">
        <v>67</v>
      </c>
      <c r="H1107" s="54"/>
    </row>
    <row r="1108" spans="1:8" x14ac:dyDescent="0.6">
      <c r="A1108" s="168" t="s">
        <v>159</v>
      </c>
      <c r="B1108" s="169">
        <v>8</v>
      </c>
      <c r="C1108" s="170"/>
      <c r="D1108" s="170"/>
      <c r="E1108" s="169"/>
      <c r="F1108" s="171" t="s">
        <v>60</v>
      </c>
      <c r="G1108" s="54" t="s">
        <v>61</v>
      </c>
      <c r="H1108" s="54"/>
    </row>
    <row r="1109" spans="1:8" x14ac:dyDescent="0.6">
      <c r="A1109" s="168" t="s">
        <v>159</v>
      </c>
      <c r="B1109" s="169">
        <v>8</v>
      </c>
      <c r="C1109" s="170"/>
      <c r="D1109" s="170"/>
      <c r="E1109" s="169"/>
      <c r="F1109" s="171" t="s">
        <v>58</v>
      </c>
      <c r="G1109" s="54" t="s">
        <v>75</v>
      </c>
      <c r="H1109" s="54"/>
    </row>
    <row r="1110" spans="1:8" x14ac:dyDescent="0.6">
      <c r="A1110" s="168" t="s">
        <v>159</v>
      </c>
      <c r="B1110" s="169">
        <v>8</v>
      </c>
      <c r="C1110" s="170"/>
      <c r="D1110" s="170"/>
      <c r="E1110" s="169"/>
      <c r="F1110" s="171" t="s">
        <v>66</v>
      </c>
      <c r="G1110" s="54"/>
      <c r="H1110" s="54"/>
    </row>
    <row r="1111" spans="1:8" x14ac:dyDescent="0.6">
      <c r="A1111" s="168" t="s">
        <v>159</v>
      </c>
      <c r="B1111" s="169">
        <v>8</v>
      </c>
      <c r="C1111" s="170"/>
      <c r="D1111" s="170"/>
      <c r="E1111" s="169"/>
      <c r="F1111" s="27" t="s">
        <v>63</v>
      </c>
      <c r="G1111" s="54"/>
      <c r="H1111" s="54"/>
    </row>
    <row r="1112" spans="1:8" x14ac:dyDescent="0.6">
      <c r="A1112" s="168" t="s">
        <v>159</v>
      </c>
      <c r="B1112" s="169">
        <v>8</v>
      </c>
      <c r="C1112" s="170"/>
      <c r="D1112" s="170"/>
      <c r="E1112" s="169"/>
      <c r="F1112" s="27" t="s">
        <v>63</v>
      </c>
      <c r="G1112" s="54"/>
      <c r="H1112" s="54"/>
    </row>
    <row r="1113" spans="1:8" x14ac:dyDescent="0.6">
      <c r="A1113" s="168" t="s">
        <v>159</v>
      </c>
      <c r="B1113" s="169">
        <v>8</v>
      </c>
      <c r="C1113" s="170"/>
      <c r="D1113" s="170"/>
      <c r="E1113" s="169"/>
      <c r="F1113" s="27" t="s">
        <v>63</v>
      </c>
      <c r="G1113" s="54"/>
      <c r="H1113" s="54"/>
    </row>
    <row r="1114" spans="1:8" x14ac:dyDescent="0.6">
      <c r="A1114" s="168" t="s">
        <v>159</v>
      </c>
      <c r="B1114" s="169">
        <v>8</v>
      </c>
      <c r="C1114" s="170"/>
      <c r="D1114" s="170"/>
      <c r="E1114" s="169"/>
      <c r="F1114" s="27" t="s">
        <v>63</v>
      </c>
      <c r="G1114" s="54"/>
      <c r="H1114" s="54"/>
    </row>
    <row r="1115" spans="1:8" x14ac:dyDescent="0.6">
      <c r="A1115" s="168" t="s">
        <v>159</v>
      </c>
      <c r="B1115" s="169">
        <v>8</v>
      </c>
      <c r="C1115" s="170"/>
      <c r="D1115" s="170"/>
      <c r="E1115" s="169"/>
      <c r="F1115" s="27" t="s">
        <v>63</v>
      </c>
      <c r="G1115" s="54"/>
      <c r="H1115" s="54"/>
    </row>
    <row r="1116" spans="1:8" x14ac:dyDescent="0.6">
      <c r="A1116" s="168" t="s">
        <v>159</v>
      </c>
      <c r="B1116" s="169">
        <v>8</v>
      </c>
      <c r="C1116" s="170"/>
      <c r="D1116" s="170"/>
      <c r="E1116" s="169"/>
      <c r="F1116" s="27" t="s">
        <v>63</v>
      </c>
      <c r="G1116" s="54"/>
      <c r="H1116" s="54"/>
    </row>
    <row r="1117" spans="1:8" x14ac:dyDescent="0.6">
      <c r="A1117" s="168" t="s">
        <v>159</v>
      </c>
      <c r="B1117" s="169">
        <v>8</v>
      </c>
      <c r="C1117" s="170"/>
      <c r="D1117" s="170"/>
      <c r="E1117" s="169"/>
      <c r="F1117" s="54" t="s">
        <v>58</v>
      </c>
      <c r="G1117" s="54" t="s">
        <v>59</v>
      </c>
      <c r="H1117" s="54"/>
    </row>
    <row r="1118" spans="1:8" x14ac:dyDescent="0.6">
      <c r="A1118" s="168" t="s">
        <v>159</v>
      </c>
      <c r="B1118" s="169">
        <v>8</v>
      </c>
      <c r="C1118" s="170"/>
      <c r="D1118" s="170"/>
      <c r="E1118" s="169"/>
      <c r="F1118" s="29" t="s">
        <v>37</v>
      </c>
      <c r="G1118" s="54"/>
      <c r="H1118" s="54"/>
    </row>
    <row r="1119" spans="1:8" x14ac:dyDescent="0.6">
      <c r="A1119" s="168" t="s">
        <v>159</v>
      </c>
      <c r="B1119" s="169">
        <v>8</v>
      </c>
      <c r="C1119" s="170"/>
      <c r="D1119" s="170"/>
      <c r="E1119" s="169"/>
      <c r="F1119" s="54" t="s">
        <v>58</v>
      </c>
      <c r="G1119" s="54" t="s">
        <v>59</v>
      </c>
      <c r="H1119" s="54"/>
    </row>
    <row r="1120" spans="1:8" x14ac:dyDescent="0.6">
      <c r="A1120" s="168" t="s">
        <v>159</v>
      </c>
      <c r="B1120" s="169">
        <v>8</v>
      </c>
      <c r="C1120" s="170"/>
      <c r="D1120" s="170"/>
      <c r="E1120" s="169"/>
      <c r="F1120" s="54" t="s">
        <v>69</v>
      </c>
      <c r="G1120" s="54" t="s">
        <v>69</v>
      </c>
      <c r="H1120" s="54"/>
    </row>
    <row r="1121" spans="1:8" x14ac:dyDescent="0.6">
      <c r="A1121" s="168" t="s">
        <v>159</v>
      </c>
      <c r="B1121" s="169">
        <v>8</v>
      </c>
      <c r="C1121" s="172"/>
      <c r="D1121" s="172"/>
      <c r="E1121" s="173"/>
      <c r="F1121" s="33" t="s">
        <v>68</v>
      </c>
      <c r="G1121" s="54"/>
      <c r="H1121" s="54"/>
    </row>
    <row r="1122" spans="1:8" x14ac:dyDescent="0.6">
      <c r="A1122" s="168" t="s">
        <v>159</v>
      </c>
      <c r="B1122" s="169">
        <v>8</v>
      </c>
      <c r="C1122" s="172"/>
      <c r="D1122" s="172"/>
      <c r="E1122" s="173"/>
      <c r="F1122" s="33" t="s">
        <v>68</v>
      </c>
      <c r="G1122" s="54"/>
      <c r="H1122" s="54"/>
    </row>
    <row r="1123" spans="1:8" x14ac:dyDescent="0.6">
      <c r="A1123" s="168" t="s">
        <v>159</v>
      </c>
      <c r="B1123" s="169">
        <v>8</v>
      </c>
      <c r="C1123" s="172"/>
      <c r="D1123" s="172"/>
      <c r="E1123" s="173"/>
      <c r="F1123" s="33" t="s">
        <v>68</v>
      </c>
      <c r="G1123" s="54"/>
      <c r="H1123" s="54"/>
    </row>
    <row r="1124" spans="1:8" x14ac:dyDescent="0.6">
      <c r="A1124" s="174" t="s">
        <v>160</v>
      </c>
      <c r="B1124" s="73">
        <v>9</v>
      </c>
      <c r="C1124" s="175"/>
      <c r="D1124" s="176"/>
      <c r="E1124" s="174"/>
      <c r="F1124" s="33" t="s">
        <v>64</v>
      </c>
    </row>
    <row r="1125" spans="1:8" x14ac:dyDescent="0.6">
      <c r="A1125" s="174" t="s">
        <v>160</v>
      </c>
      <c r="B1125" s="73">
        <v>9</v>
      </c>
      <c r="C1125" s="176"/>
      <c r="D1125" s="176"/>
      <c r="E1125" s="174"/>
      <c r="F1125" s="23" t="s">
        <v>58</v>
      </c>
      <c r="G1125" s="23" t="s">
        <v>59</v>
      </c>
    </row>
    <row r="1126" spans="1:8" x14ac:dyDescent="0.6">
      <c r="A1126" s="174" t="s">
        <v>161</v>
      </c>
      <c r="B1126" s="73">
        <v>9</v>
      </c>
      <c r="C1126" s="175"/>
      <c r="D1126" s="176"/>
      <c r="E1126" s="174"/>
      <c r="F1126" s="33" t="s">
        <v>64</v>
      </c>
    </row>
    <row r="1127" spans="1:8" x14ac:dyDescent="0.6">
      <c r="A1127" s="174" t="s">
        <v>161</v>
      </c>
      <c r="B1127" s="73">
        <v>9</v>
      </c>
      <c r="C1127" s="175"/>
      <c r="D1127" s="176"/>
      <c r="E1127" s="174"/>
      <c r="F1127" s="33" t="s">
        <v>64</v>
      </c>
    </row>
    <row r="1128" spans="1:8" x14ac:dyDescent="0.6">
      <c r="A1128" s="174" t="s">
        <v>161</v>
      </c>
      <c r="B1128" s="73">
        <v>9</v>
      </c>
      <c r="C1128" s="176"/>
      <c r="D1128" s="176"/>
      <c r="E1128" s="174"/>
      <c r="F1128" s="23" t="s">
        <v>60</v>
      </c>
      <c r="G1128" s="23" t="s">
        <v>61</v>
      </c>
    </row>
    <row r="1129" spans="1:8" x14ac:dyDescent="0.6">
      <c r="A1129" s="174" t="s">
        <v>161</v>
      </c>
      <c r="B1129" s="73">
        <v>9</v>
      </c>
      <c r="C1129" s="176"/>
      <c r="D1129" s="177"/>
      <c r="E1129" s="174"/>
      <c r="F1129" s="23" t="s">
        <v>69</v>
      </c>
      <c r="G1129" s="23" t="s">
        <v>69</v>
      </c>
    </row>
    <row r="1130" spans="1:8" x14ac:dyDescent="0.6">
      <c r="A1130" s="174" t="s">
        <v>161</v>
      </c>
      <c r="B1130" s="73">
        <v>9</v>
      </c>
      <c r="C1130" s="176"/>
      <c r="D1130" s="177"/>
      <c r="E1130" s="174"/>
      <c r="F1130" s="23" t="s">
        <v>69</v>
      </c>
      <c r="G1130" s="23" t="s">
        <v>69</v>
      </c>
    </row>
    <row r="1131" spans="1:8" x14ac:dyDescent="0.6">
      <c r="A1131" s="174" t="s">
        <v>161</v>
      </c>
      <c r="B1131" s="73">
        <v>9</v>
      </c>
      <c r="C1131" s="176"/>
      <c r="D1131" s="177"/>
      <c r="E1131" s="174"/>
      <c r="F1131" s="23" t="s">
        <v>69</v>
      </c>
      <c r="G1131" s="23" t="s">
        <v>69</v>
      </c>
    </row>
    <row r="1132" spans="1:8" x14ac:dyDescent="0.6">
      <c r="A1132" s="174" t="s">
        <v>161</v>
      </c>
      <c r="B1132" s="73">
        <v>9</v>
      </c>
      <c r="C1132" s="176"/>
      <c r="D1132" s="177"/>
      <c r="E1132" s="174"/>
      <c r="F1132" s="23" t="s">
        <v>69</v>
      </c>
      <c r="G1132" s="23" t="s">
        <v>69</v>
      </c>
    </row>
    <row r="1133" spans="1:8" x14ac:dyDescent="0.6">
      <c r="A1133" s="174" t="s">
        <v>161</v>
      </c>
      <c r="B1133" s="73">
        <v>9</v>
      </c>
      <c r="C1133" s="176"/>
      <c r="D1133" s="176"/>
      <c r="E1133" s="178"/>
      <c r="F1133" s="33" t="s">
        <v>68</v>
      </c>
    </row>
    <row r="1134" spans="1:8" x14ac:dyDescent="0.6">
      <c r="A1134" s="174" t="s">
        <v>162</v>
      </c>
      <c r="B1134" s="73">
        <v>9</v>
      </c>
      <c r="C1134" s="176"/>
      <c r="D1134" s="176"/>
      <c r="E1134" s="174"/>
      <c r="F1134" s="33" t="s">
        <v>68</v>
      </c>
    </row>
    <row r="1135" spans="1:8" x14ac:dyDescent="0.6">
      <c r="A1135" s="174" t="s">
        <v>162</v>
      </c>
      <c r="B1135" s="73">
        <v>9</v>
      </c>
      <c r="C1135" s="176"/>
      <c r="D1135" s="176"/>
      <c r="E1135" s="174"/>
      <c r="F1135" s="33" t="s">
        <v>68</v>
      </c>
    </row>
    <row r="1136" spans="1:8" x14ac:dyDescent="0.6">
      <c r="A1136" s="174" t="s">
        <v>162</v>
      </c>
      <c r="B1136" s="73">
        <v>9</v>
      </c>
      <c r="C1136" s="176"/>
      <c r="D1136" s="176"/>
      <c r="E1136" s="174"/>
      <c r="F1136" s="33" t="s">
        <v>68</v>
      </c>
    </row>
    <row r="1137" spans="1:7" x14ac:dyDescent="0.6">
      <c r="A1137" s="174" t="s">
        <v>162</v>
      </c>
      <c r="B1137" s="73">
        <v>9</v>
      </c>
      <c r="C1137" s="176"/>
      <c r="D1137" s="177"/>
      <c r="E1137" s="174"/>
      <c r="F1137" s="23" t="s">
        <v>69</v>
      </c>
      <c r="G1137" s="23" t="s">
        <v>69</v>
      </c>
    </row>
    <row r="1138" spans="1:7" x14ac:dyDescent="0.6">
      <c r="A1138" s="174" t="s">
        <v>162</v>
      </c>
      <c r="B1138" s="73">
        <v>9</v>
      </c>
      <c r="C1138" s="176"/>
      <c r="D1138" s="179"/>
      <c r="E1138" s="174"/>
      <c r="F1138" s="27" t="s">
        <v>63</v>
      </c>
    </row>
    <row r="1139" spans="1:7" x14ac:dyDescent="0.6">
      <c r="A1139" s="174" t="s">
        <v>162</v>
      </c>
      <c r="B1139" s="73">
        <v>9</v>
      </c>
      <c r="C1139" s="176"/>
      <c r="D1139" s="179"/>
      <c r="E1139" s="178"/>
      <c r="F1139" s="27" t="s">
        <v>63</v>
      </c>
    </row>
    <row r="1140" spans="1:7" x14ac:dyDescent="0.6">
      <c r="A1140" s="174" t="s">
        <v>162</v>
      </c>
      <c r="B1140" s="73">
        <v>9</v>
      </c>
      <c r="C1140" s="176"/>
      <c r="D1140" s="179"/>
      <c r="E1140" s="178"/>
      <c r="F1140" s="27" t="s">
        <v>63</v>
      </c>
    </row>
    <row r="1141" spans="1:7" x14ac:dyDescent="0.6">
      <c r="A1141" s="174" t="s">
        <v>163</v>
      </c>
      <c r="B1141" s="73">
        <v>9</v>
      </c>
      <c r="C1141" s="176"/>
      <c r="D1141" s="177"/>
      <c r="E1141" s="174"/>
      <c r="F1141" s="23" t="s">
        <v>69</v>
      </c>
      <c r="G1141" s="23" t="s">
        <v>69</v>
      </c>
    </row>
    <row r="1142" spans="1:7" x14ac:dyDescent="0.6">
      <c r="A1142" s="174" t="s">
        <v>164</v>
      </c>
      <c r="B1142" s="73">
        <v>9</v>
      </c>
      <c r="C1142" s="176"/>
      <c r="D1142" s="176"/>
      <c r="E1142" s="174"/>
      <c r="F1142" s="33" t="s">
        <v>68</v>
      </c>
    </row>
    <row r="1143" spans="1:7" x14ac:dyDescent="0.6">
      <c r="A1143" s="174" t="s">
        <v>164</v>
      </c>
      <c r="B1143" s="73">
        <v>9</v>
      </c>
      <c r="C1143" s="176"/>
      <c r="D1143" s="176"/>
      <c r="E1143" s="174"/>
      <c r="F1143" s="33" t="s">
        <v>68</v>
      </c>
    </row>
    <row r="1144" spans="1:7" x14ac:dyDescent="0.6">
      <c r="A1144" s="174" t="s">
        <v>164</v>
      </c>
      <c r="B1144" s="73">
        <v>9</v>
      </c>
      <c r="C1144" s="176"/>
      <c r="D1144" s="176"/>
      <c r="E1144" s="174"/>
      <c r="F1144" s="33" t="s">
        <v>68</v>
      </c>
    </row>
    <row r="1145" spans="1:7" x14ac:dyDescent="0.6">
      <c r="A1145" s="174" t="s">
        <v>164</v>
      </c>
      <c r="B1145" s="73">
        <v>9</v>
      </c>
      <c r="C1145" s="176"/>
      <c r="D1145" s="179"/>
      <c r="E1145" s="174"/>
      <c r="F1145" s="27" t="s">
        <v>63</v>
      </c>
    </row>
    <row r="1146" spans="1:7" x14ac:dyDescent="0.6">
      <c r="A1146" s="174" t="s">
        <v>165</v>
      </c>
      <c r="B1146" s="73">
        <v>9</v>
      </c>
      <c r="C1146" s="176"/>
      <c r="D1146" s="177"/>
      <c r="E1146" s="174"/>
      <c r="F1146" s="23" t="s">
        <v>69</v>
      </c>
      <c r="G1146" s="23" t="s">
        <v>69</v>
      </c>
    </row>
    <row r="1147" spans="1:7" x14ac:dyDescent="0.6">
      <c r="A1147" s="174" t="s">
        <v>166</v>
      </c>
      <c r="B1147" s="73">
        <v>9</v>
      </c>
      <c r="C1147" s="176"/>
      <c r="D1147" s="177"/>
      <c r="E1147" s="174"/>
      <c r="F1147" s="23" t="s">
        <v>69</v>
      </c>
      <c r="G1147" s="23" t="s">
        <v>69</v>
      </c>
    </row>
    <row r="1148" spans="1:7" x14ac:dyDescent="0.6">
      <c r="A1148" s="174" t="s">
        <v>167</v>
      </c>
      <c r="B1148" s="73">
        <v>9</v>
      </c>
      <c r="C1148" s="176"/>
      <c r="D1148" s="176"/>
      <c r="E1148" s="174"/>
      <c r="F1148" s="23" t="s">
        <v>60</v>
      </c>
      <c r="G1148" s="23" t="s">
        <v>67</v>
      </c>
    </row>
    <row r="1149" spans="1:7" x14ac:dyDescent="0.6">
      <c r="A1149" s="174" t="s">
        <v>167</v>
      </c>
      <c r="B1149" s="73">
        <v>9</v>
      </c>
      <c r="C1149" s="176"/>
      <c r="D1149" s="176"/>
      <c r="E1149" s="174"/>
      <c r="F1149" s="23" t="s">
        <v>60</v>
      </c>
      <c r="G1149" s="23" t="s">
        <v>61</v>
      </c>
    </row>
    <row r="1150" spans="1:7" x14ac:dyDescent="0.6">
      <c r="A1150" s="174" t="s">
        <v>167</v>
      </c>
      <c r="B1150" s="73">
        <v>9</v>
      </c>
      <c r="C1150" s="176"/>
      <c r="D1150" s="177"/>
      <c r="E1150" s="174"/>
      <c r="F1150" s="23" t="s">
        <v>69</v>
      </c>
      <c r="G1150" s="23" t="s">
        <v>69</v>
      </c>
    </row>
    <row r="1151" spans="1:7" x14ac:dyDescent="0.6">
      <c r="A1151" s="174" t="s">
        <v>167</v>
      </c>
      <c r="B1151" s="73">
        <v>9</v>
      </c>
      <c r="C1151" s="176"/>
      <c r="D1151" s="176"/>
      <c r="E1151" s="174"/>
      <c r="F1151" s="23" t="s">
        <v>58</v>
      </c>
      <c r="G1151" s="23" t="s">
        <v>67</v>
      </c>
    </row>
    <row r="1152" spans="1:7" x14ac:dyDescent="0.6">
      <c r="A1152" s="174" t="s">
        <v>167</v>
      </c>
      <c r="B1152" s="73">
        <v>9</v>
      </c>
      <c r="C1152" s="176"/>
      <c r="D1152" s="176"/>
      <c r="E1152" s="174"/>
      <c r="F1152" s="23" t="s">
        <v>65</v>
      </c>
    </row>
    <row r="1153" spans="1:8" x14ac:dyDescent="0.6">
      <c r="A1153" s="174" t="s">
        <v>167</v>
      </c>
      <c r="B1153" s="73">
        <v>9</v>
      </c>
      <c r="C1153" s="176"/>
      <c r="D1153" s="176"/>
      <c r="E1153" s="174"/>
      <c r="F1153" s="23" t="s">
        <v>65</v>
      </c>
    </row>
    <row r="1154" spans="1:8" x14ac:dyDescent="0.6">
      <c r="A1154" s="174" t="s">
        <v>167</v>
      </c>
      <c r="B1154" s="73">
        <v>9</v>
      </c>
      <c r="C1154" s="176"/>
      <c r="D1154" s="176"/>
      <c r="E1154" s="174"/>
      <c r="F1154" s="27" t="s">
        <v>63</v>
      </c>
    </row>
    <row r="1155" spans="1:8" x14ac:dyDescent="0.6">
      <c r="A1155" s="174" t="s">
        <v>167</v>
      </c>
      <c r="B1155" s="73">
        <v>9</v>
      </c>
      <c r="C1155" s="176"/>
      <c r="D1155" s="176"/>
      <c r="E1155" s="174"/>
      <c r="F1155" s="23" t="s">
        <v>58</v>
      </c>
      <c r="G1155" s="23" t="s">
        <v>67</v>
      </c>
    </row>
    <row r="1156" spans="1:8" x14ac:dyDescent="0.6">
      <c r="A1156" s="180" t="s">
        <v>167</v>
      </c>
      <c r="B1156" s="73">
        <v>9</v>
      </c>
      <c r="C1156" s="181"/>
      <c r="D1156" s="182"/>
      <c r="E1156" s="180"/>
      <c r="F1156" s="27" t="s">
        <v>63</v>
      </c>
      <c r="G1156" s="183"/>
      <c r="H1156" s="183"/>
    </row>
    <row r="1157" spans="1:8" x14ac:dyDescent="0.6">
      <c r="A1157" s="174" t="s">
        <v>167</v>
      </c>
      <c r="B1157" s="73">
        <v>9</v>
      </c>
      <c r="C1157" s="176"/>
      <c r="D1157" s="176"/>
      <c r="E1157" s="174"/>
      <c r="F1157" s="23" t="s">
        <v>65</v>
      </c>
    </row>
    <row r="1158" spans="1:8" x14ac:dyDescent="0.6">
      <c r="A1158" s="174" t="s">
        <v>167</v>
      </c>
      <c r="B1158" s="73">
        <v>9</v>
      </c>
      <c r="C1158" s="176"/>
      <c r="D1158" s="176"/>
      <c r="E1158" s="174"/>
      <c r="F1158" s="23" t="s">
        <v>65</v>
      </c>
    </row>
    <row r="1159" spans="1:8" x14ac:dyDescent="0.6">
      <c r="A1159" s="174" t="s">
        <v>167</v>
      </c>
      <c r="B1159" s="73">
        <v>9</v>
      </c>
      <c r="C1159" s="176"/>
      <c r="D1159" s="176"/>
      <c r="E1159" s="174"/>
      <c r="F1159" s="27" t="s">
        <v>63</v>
      </c>
    </row>
    <row r="1160" spans="1:8" x14ac:dyDescent="0.6">
      <c r="A1160" s="174" t="s">
        <v>167</v>
      </c>
      <c r="B1160" s="73">
        <v>9</v>
      </c>
      <c r="C1160" s="176"/>
      <c r="D1160" s="176"/>
      <c r="E1160" s="174"/>
      <c r="F1160" s="23" t="s">
        <v>65</v>
      </c>
    </row>
    <row r="1161" spans="1:8" x14ac:dyDescent="0.6">
      <c r="A1161" s="174" t="s">
        <v>168</v>
      </c>
      <c r="B1161" s="73">
        <v>9</v>
      </c>
      <c r="C1161" s="176"/>
      <c r="D1161" s="176"/>
      <c r="E1161" s="174"/>
      <c r="F1161" s="33" t="s">
        <v>68</v>
      </c>
    </row>
    <row r="1162" spans="1:8" x14ac:dyDescent="0.6">
      <c r="A1162" s="174" t="s">
        <v>168</v>
      </c>
      <c r="B1162" s="73">
        <v>9</v>
      </c>
      <c r="C1162" s="176"/>
      <c r="D1162" s="177"/>
      <c r="E1162" s="174"/>
      <c r="F1162" s="23" t="s">
        <v>69</v>
      </c>
      <c r="G1162" s="23" t="s">
        <v>69</v>
      </c>
    </row>
    <row r="1163" spans="1:8" x14ac:dyDescent="0.6">
      <c r="A1163" s="174" t="s">
        <v>168</v>
      </c>
      <c r="B1163" s="73">
        <v>9</v>
      </c>
      <c r="C1163" s="176"/>
      <c r="D1163" s="177"/>
      <c r="E1163" s="174"/>
      <c r="F1163" s="23" t="s">
        <v>69</v>
      </c>
      <c r="G1163" s="23" t="s">
        <v>69</v>
      </c>
    </row>
    <row r="1164" spans="1:8" x14ac:dyDescent="0.6">
      <c r="A1164" s="174" t="s">
        <v>168</v>
      </c>
      <c r="B1164" s="73">
        <v>9</v>
      </c>
      <c r="C1164" s="176"/>
      <c r="D1164" s="176"/>
      <c r="E1164" s="178"/>
      <c r="F1164" s="33" t="s">
        <v>68</v>
      </c>
    </row>
    <row r="1165" spans="1:8" x14ac:dyDescent="0.6">
      <c r="A1165" s="174" t="s">
        <v>169</v>
      </c>
      <c r="B1165" s="73">
        <v>9</v>
      </c>
      <c r="C1165" s="176"/>
      <c r="D1165" s="176"/>
      <c r="E1165" s="174"/>
      <c r="F1165" s="33" t="s">
        <v>68</v>
      </c>
    </row>
    <row r="1166" spans="1:8" x14ac:dyDescent="0.6">
      <c r="A1166" s="174" t="s">
        <v>169</v>
      </c>
      <c r="B1166" s="73">
        <v>9</v>
      </c>
      <c r="C1166" s="176"/>
      <c r="D1166" s="177"/>
      <c r="E1166" s="174"/>
      <c r="F1166" s="23" t="s">
        <v>69</v>
      </c>
      <c r="G1166" s="23" t="s">
        <v>69</v>
      </c>
    </row>
    <row r="1167" spans="1:8" x14ac:dyDescent="0.6">
      <c r="A1167" s="174" t="s">
        <v>169</v>
      </c>
      <c r="B1167" s="73">
        <v>9</v>
      </c>
      <c r="C1167" s="176"/>
      <c r="D1167" s="177"/>
      <c r="E1167" s="174"/>
      <c r="F1167" s="23" t="s">
        <v>69</v>
      </c>
      <c r="G1167" s="23" t="s">
        <v>69</v>
      </c>
    </row>
    <row r="1168" spans="1:8" x14ac:dyDescent="0.6">
      <c r="A1168" s="184" t="s">
        <v>169</v>
      </c>
      <c r="B1168" s="73">
        <v>9</v>
      </c>
      <c r="C1168" s="185"/>
      <c r="D1168" s="185"/>
      <c r="E1168" s="186"/>
      <c r="F1168" s="27" t="s">
        <v>63</v>
      </c>
    </row>
    <row r="1169" spans="1:7" x14ac:dyDescent="0.6">
      <c r="A1169" s="174" t="s">
        <v>170</v>
      </c>
      <c r="B1169" s="73">
        <v>9</v>
      </c>
      <c r="C1169" s="176"/>
      <c r="D1169" s="177"/>
      <c r="E1169" s="174"/>
      <c r="F1169" s="23" t="s">
        <v>69</v>
      </c>
      <c r="G1169" s="23" t="s">
        <v>69</v>
      </c>
    </row>
    <row r="1170" spans="1:7" x14ac:dyDescent="0.6">
      <c r="A1170" s="174" t="s">
        <v>170</v>
      </c>
      <c r="B1170" s="73">
        <v>9</v>
      </c>
      <c r="C1170" s="176"/>
      <c r="D1170" s="176"/>
      <c r="E1170" s="174"/>
      <c r="F1170" s="23" t="s">
        <v>60</v>
      </c>
      <c r="G1170" s="23" t="s">
        <v>67</v>
      </c>
    </row>
    <row r="1171" spans="1:7" x14ac:dyDescent="0.6">
      <c r="A1171" s="174" t="s">
        <v>171</v>
      </c>
      <c r="B1171" s="73">
        <v>9</v>
      </c>
      <c r="C1171" s="176"/>
      <c r="D1171" s="176"/>
      <c r="E1171" s="174"/>
      <c r="F1171" s="33" t="s">
        <v>68</v>
      </c>
    </row>
    <row r="1172" spans="1:7" x14ac:dyDescent="0.6">
      <c r="A1172" s="174" t="s">
        <v>171</v>
      </c>
      <c r="B1172" s="73">
        <v>9</v>
      </c>
      <c r="C1172" s="176"/>
      <c r="D1172" s="176"/>
      <c r="E1172" s="174"/>
      <c r="F1172" s="33" t="s">
        <v>68</v>
      </c>
    </row>
    <row r="1173" spans="1:7" x14ac:dyDescent="0.6">
      <c r="A1173" s="174" t="s">
        <v>171</v>
      </c>
      <c r="B1173" s="73">
        <v>9</v>
      </c>
      <c r="C1173" s="176"/>
      <c r="D1173" s="176"/>
      <c r="E1173" s="174"/>
      <c r="F1173" s="33" t="s">
        <v>68</v>
      </c>
    </row>
    <row r="1174" spans="1:7" x14ac:dyDescent="0.6">
      <c r="A1174" s="174" t="s">
        <v>171</v>
      </c>
      <c r="B1174" s="73">
        <v>9</v>
      </c>
      <c r="C1174" s="176"/>
      <c r="D1174" s="179"/>
      <c r="E1174" s="174"/>
      <c r="F1174" s="27" t="s">
        <v>63</v>
      </c>
    </row>
    <row r="1175" spans="1:7" x14ac:dyDescent="0.6">
      <c r="A1175" s="174" t="s">
        <v>171</v>
      </c>
      <c r="B1175" s="73">
        <v>9</v>
      </c>
      <c r="C1175" s="176"/>
      <c r="D1175" s="177"/>
      <c r="E1175" s="174"/>
      <c r="F1175" s="23" t="s">
        <v>69</v>
      </c>
      <c r="G1175" s="23" t="s">
        <v>69</v>
      </c>
    </row>
    <row r="1176" spans="1:7" x14ac:dyDescent="0.6">
      <c r="A1176" s="174" t="s">
        <v>171</v>
      </c>
      <c r="B1176" s="73">
        <v>9</v>
      </c>
      <c r="C1176" s="176"/>
      <c r="D1176" s="176"/>
      <c r="E1176" s="174"/>
      <c r="F1176" s="23" t="s">
        <v>60</v>
      </c>
      <c r="G1176" s="23" t="s">
        <v>73</v>
      </c>
    </row>
    <row r="1177" spans="1:7" x14ac:dyDescent="0.6">
      <c r="A1177" s="174" t="s">
        <v>172</v>
      </c>
      <c r="B1177" s="73">
        <v>9</v>
      </c>
      <c r="C1177" s="176"/>
      <c r="D1177" s="176"/>
      <c r="E1177" s="174"/>
      <c r="F1177" s="33" t="s">
        <v>68</v>
      </c>
    </row>
    <row r="1178" spans="1:7" x14ac:dyDescent="0.6">
      <c r="A1178" s="174" t="s">
        <v>172</v>
      </c>
      <c r="B1178" s="73">
        <v>9</v>
      </c>
      <c r="C1178" s="176"/>
      <c r="D1178" s="176"/>
      <c r="E1178" s="174"/>
      <c r="F1178" s="23" t="s">
        <v>58</v>
      </c>
      <c r="G1178" s="23" t="s">
        <v>59</v>
      </c>
    </row>
    <row r="1179" spans="1:7" x14ac:dyDescent="0.6">
      <c r="A1179" s="174" t="s">
        <v>172</v>
      </c>
      <c r="B1179" s="73">
        <v>9</v>
      </c>
      <c r="C1179" s="176"/>
      <c r="D1179" s="176"/>
      <c r="E1179" s="174"/>
      <c r="F1179" s="23" t="s">
        <v>58</v>
      </c>
      <c r="G1179" s="23" t="s">
        <v>59</v>
      </c>
    </row>
    <row r="1180" spans="1:7" x14ac:dyDescent="0.6">
      <c r="A1180" s="174" t="s">
        <v>172</v>
      </c>
      <c r="B1180" s="73">
        <v>9</v>
      </c>
      <c r="C1180" s="176"/>
      <c r="D1180" s="177"/>
      <c r="E1180" s="174"/>
      <c r="F1180" s="23" t="s">
        <v>69</v>
      </c>
      <c r="G1180" s="23" t="s">
        <v>69</v>
      </c>
    </row>
    <row r="1181" spans="1:7" x14ac:dyDescent="0.6">
      <c r="A1181" s="174" t="s">
        <v>173</v>
      </c>
      <c r="B1181" s="73">
        <v>9</v>
      </c>
      <c r="C1181" s="176"/>
      <c r="D1181" s="176"/>
      <c r="E1181" s="174"/>
      <c r="F1181" s="33" t="s">
        <v>68</v>
      </c>
    </row>
    <row r="1182" spans="1:7" x14ac:dyDescent="0.6">
      <c r="A1182" s="174" t="s">
        <v>173</v>
      </c>
      <c r="B1182" s="73">
        <v>9</v>
      </c>
      <c r="C1182" s="176"/>
      <c r="D1182" s="176"/>
      <c r="E1182" s="174"/>
      <c r="F1182" s="33" t="s">
        <v>68</v>
      </c>
    </row>
    <row r="1183" spans="1:7" x14ac:dyDescent="0.6">
      <c r="A1183" s="174" t="s">
        <v>174</v>
      </c>
      <c r="B1183" s="73">
        <v>9</v>
      </c>
      <c r="C1183" s="176"/>
      <c r="D1183" s="176"/>
      <c r="E1183" s="174"/>
      <c r="F1183" s="33" t="s">
        <v>68</v>
      </c>
    </row>
    <row r="1184" spans="1:7" x14ac:dyDescent="0.6">
      <c r="A1184" s="174" t="s">
        <v>174</v>
      </c>
      <c r="B1184" s="73">
        <v>9</v>
      </c>
      <c r="C1184" s="175"/>
      <c r="D1184" s="176"/>
      <c r="E1184" s="174"/>
      <c r="F1184" s="33" t="s">
        <v>64</v>
      </c>
    </row>
    <row r="1185" spans="1:7" x14ac:dyDescent="0.6">
      <c r="A1185" s="174" t="s">
        <v>174</v>
      </c>
      <c r="B1185" s="73">
        <v>9</v>
      </c>
      <c r="C1185" s="176"/>
      <c r="D1185" s="176"/>
      <c r="E1185" s="174"/>
      <c r="F1185" s="23" t="s">
        <v>58</v>
      </c>
      <c r="G1185" s="23" t="s">
        <v>59</v>
      </c>
    </row>
    <row r="1186" spans="1:7" x14ac:dyDescent="0.6">
      <c r="A1186" s="174" t="s">
        <v>174</v>
      </c>
      <c r="B1186" s="73">
        <v>9</v>
      </c>
      <c r="C1186" s="176"/>
      <c r="D1186" s="177"/>
      <c r="E1186" s="174"/>
      <c r="F1186" s="23" t="s">
        <v>69</v>
      </c>
      <c r="G1186" s="23" t="s">
        <v>69</v>
      </c>
    </row>
    <row r="1187" spans="1:7" x14ac:dyDescent="0.6">
      <c r="A1187" s="174" t="s">
        <v>174</v>
      </c>
      <c r="B1187" s="73">
        <v>9</v>
      </c>
      <c r="C1187" s="175"/>
      <c r="D1187" s="176"/>
      <c r="E1187" s="178"/>
      <c r="F1187" s="33" t="s">
        <v>64</v>
      </c>
    </row>
    <row r="1188" spans="1:7" x14ac:dyDescent="0.6">
      <c r="A1188" s="174" t="s">
        <v>174</v>
      </c>
      <c r="B1188" s="73">
        <v>9</v>
      </c>
      <c r="C1188" s="176"/>
      <c r="D1188" s="176"/>
      <c r="E1188" s="178"/>
      <c r="F1188" s="33" t="s">
        <v>68</v>
      </c>
    </row>
    <row r="1189" spans="1:7" x14ac:dyDescent="0.6">
      <c r="A1189" s="184" t="s">
        <v>174</v>
      </c>
      <c r="B1189" s="73">
        <v>9</v>
      </c>
      <c r="C1189" s="187"/>
      <c r="D1189" s="185"/>
      <c r="E1189" s="186"/>
      <c r="F1189" s="33" t="s">
        <v>64</v>
      </c>
    </row>
    <row r="1190" spans="1:7" x14ac:dyDescent="0.6">
      <c r="A1190" s="174" t="s">
        <v>175</v>
      </c>
      <c r="B1190" s="73">
        <v>9</v>
      </c>
      <c r="C1190" s="176"/>
      <c r="D1190" s="176"/>
      <c r="E1190" s="174"/>
      <c r="F1190" s="33" t="s">
        <v>68</v>
      </c>
    </row>
    <row r="1191" spans="1:7" x14ac:dyDescent="0.6">
      <c r="A1191" s="174" t="s">
        <v>175</v>
      </c>
      <c r="B1191" s="73">
        <v>9</v>
      </c>
      <c r="C1191" s="176"/>
      <c r="D1191" s="177"/>
      <c r="E1191" s="174"/>
      <c r="F1191" s="23" t="s">
        <v>69</v>
      </c>
      <c r="G1191" s="23" t="s">
        <v>69</v>
      </c>
    </row>
    <row r="1192" spans="1:7" x14ac:dyDescent="0.6">
      <c r="A1192" s="174" t="s">
        <v>175</v>
      </c>
      <c r="B1192" s="73">
        <v>9</v>
      </c>
      <c r="C1192" s="176"/>
      <c r="D1192" s="176"/>
      <c r="E1192" s="174"/>
      <c r="F1192" s="27" t="s">
        <v>63</v>
      </c>
    </row>
    <row r="1193" spans="1:7" x14ac:dyDescent="0.6">
      <c r="A1193" s="174" t="s">
        <v>175</v>
      </c>
      <c r="B1193" s="73">
        <v>9</v>
      </c>
      <c r="C1193" s="176"/>
      <c r="D1193" s="177"/>
      <c r="E1193" s="174"/>
      <c r="F1193" s="23" t="s">
        <v>69</v>
      </c>
      <c r="G1193" s="23" t="s">
        <v>69</v>
      </c>
    </row>
    <row r="1194" spans="1:7" x14ac:dyDescent="0.6">
      <c r="A1194" s="174" t="s">
        <v>175</v>
      </c>
      <c r="B1194" s="73">
        <v>9</v>
      </c>
      <c r="C1194" s="176"/>
      <c r="D1194" s="177"/>
      <c r="E1194" s="174"/>
      <c r="F1194" s="23" t="s">
        <v>69</v>
      </c>
      <c r="G1194" s="23" t="s">
        <v>69</v>
      </c>
    </row>
    <row r="1195" spans="1:7" x14ac:dyDescent="0.6">
      <c r="A1195" s="174" t="s">
        <v>176</v>
      </c>
      <c r="B1195" s="73">
        <v>9</v>
      </c>
      <c r="C1195" s="176"/>
      <c r="D1195" s="176"/>
      <c r="E1195" s="174"/>
      <c r="F1195" s="33" t="s">
        <v>68</v>
      </c>
    </row>
    <row r="1196" spans="1:7" x14ac:dyDescent="0.6">
      <c r="A1196" s="174" t="s">
        <v>176</v>
      </c>
      <c r="B1196" s="73">
        <v>9</v>
      </c>
      <c r="C1196" s="176"/>
      <c r="D1196" s="177"/>
      <c r="E1196" s="174"/>
      <c r="F1196" s="23" t="s">
        <v>69</v>
      </c>
      <c r="G1196" s="23" t="s">
        <v>69</v>
      </c>
    </row>
    <row r="1197" spans="1:7" x14ac:dyDescent="0.6">
      <c r="A1197" s="174" t="s">
        <v>176</v>
      </c>
      <c r="B1197" s="73">
        <v>9</v>
      </c>
      <c r="C1197" s="176"/>
      <c r="D1197" s="177"/>
      <c r="E1197" s="174"/>
      <c r="F1197" s="23" t="s">
        <v>69</v>
      </c>
      <c r="G1197" s="23" t="s">
        <v>69</v>
      </c>
    </row>
    <row r="1198" spans="1:7" x14ac:dyDescent="0.6">
      <c r="A1198" s="174" t="s">
        <v>176</v>
      </c>
      <c r="B1198" s="73">
        <v>9</v>
      </c>
      <c r="C1198" s="176"/>
      <c r="D1198" s="176"/>
      <c r="E1198" s="174"/>
      <c r="F1198" s="23" t="s">
        <v>58</v>
      </c>
      <c r="G1198" s="23" t="s">
        <v>59</v>
      </c>
    </row>
    <row r="1199" spans="1:7" x14ac:dyDescent="0.6">
      <c r="A1199" s="174" t="s">
        <v>176</v>
      </c>
      <c r="B1199" s="73">
        <v>9</v>
      </c>
      <c r="C1199" s="176"/>
      <c r="D1199" s="177"/>
      <c r="E1199" s="174"/>
      <c r="F1199" s="23" t="s">
        <v>69</v>
      </c>
      <c r="G1199" s="23" t="s">
        <v>69</v>
      </c>
    </row>
    <row r="1200" spans="1:7" x14ac:dyDescent="0.6">
      <c r="A1200" s="174" t="s">
        <v>176</v>
      </c>
      <c r="B1200" s="73">
        <v>9</v>
      </c>
      <c r="C1200" s="176"/>
      <c r="D1200" s="177"/>
      <c r="E1200" s="174"/>
      <c r="F1200" s="23" t="s">
        <v>69</v>
      </c>
      <c r="G1200" s="23" t="s">
        <v>69</v>
      </c>
    </row>
    <row r="1201" spans="1:8" x14ac:dyDescent="0.6">
      <c r="A1201" s="174" t="s">
        <v>176</v>
      </c>
      <c r="B1201" s="73">
        <v>9</v>
      </c>
      <c r="C1201" s="176"/>
      <c r="D1201" s="176"/>
      <c r="E1201" s="174"/>
      <c r="F1201" s="23" t="s">
        <v>58</v>
      </c>
      <c r="G1201" s="23" t="s">
        <v>59</v>
      </c>
    </row>
    <row r="1202" spans="1:8" x14ac:dyDescent="0.6">
      <c r="A1202" s="174" t="s">
        <v>177</v>
      </c>
      <c r="B1202" s="73">
        <v>9</v>
      </c>
      <c r="C1202" s="176"/>
      <c r="D1202" s="176"/>
      <c r="E1202" s="174"/>
      <c r="F1202" s="33" t="s">
        <v>68</v>
      </c>
    </row>
    <row r="1203" spans="1:8" x14ac:dyDescent="0.6">
      <c r="A1203" s="174" t="s">
        <v>177</v>
      </c>
      <c r="B1203" s="73">
        <v>9</v>
      </c>
      <c r="C1203" s="176"/>
      <c r="D1203" s="176"/>
      <c r="E1203" s="174"/>
      <c r="F1203" s="33" t="s">
        <v>68</v>
      </c>
    </row>
    <row r="1204" spans="1:8" x14ac:dyDescent="0.6">
      <c r="A1204" s="174" t="s">
        <v>177</v>
      </c>
      <c r="B1204" s="73">
        <v>9</v>
      </c>
      <c r="C1204" s="176"/>
      <c r="D1204" s="179"/>
      <c r="E1204" s="178"/>
      <c r="F1204" s="27" t="s">
        <v>63</v>
      </c>
      <c r="H1204" s="21"/>
    </row>
    <row r="1205" spans="1:8" x14ac:dyDescent="0.6">
      <c r="A1205" s="174" t="s">
        <v>177</v>
      </c>
      <c r="B1205" s="73">
        <v>9</v>
      </c>
      <c r="C1205" s="176"/>
      <c r="D1205" s="179"/>
      <c r="E1205" s="178"/>
      <c r="F1205" s="27" t="s">
        <v>63</v>
      </c>
      <c r="H1205" s="21"/>
    </row>
    <row r="1206" spans="1:8" x14ac:dyDescent="0.6">
      <c r="A1206" s="174" t="s">
        <v>178</v>
      </c>
      <c r="B1206" s="73">
        <v>9</v>
      </c>
      <c r="C1206" s="176"/>
      <c r="D1206" s="176"/>
      <c r="E1206" s="174"/>
      <c r="F1206" s="33" t="s">
        <v>68</v>
      </c>
      <c r="H1206" s="21"/>
    </row>
    <row r="1207" spans="1:8" x14ac:dyDescent="0.6">
      <c r="A1207" s="174" t="s">
        <v>178</v>
      </c>
      <c r="B1207" s="73">
        <v>9</v>
      </c>
      <c r="C1207" s="176"/>
      <c r="D1207" s="177"/>
      <c r="E1207" s="174"/>
      <c r="F1207" s="23" t="s">
        <v>65</v>
      </c>
      <c r="H1207" s="21"/>
    </row>
    <row r="1208" spans="1:8" x14ac:dyDescent="0.6">
      <c r="A1208" s="174" t="s">
        <v>178</v>
      </c>
      <c r="B1208" s="73">
        <v>9</v>
      </c>
      <c r="C1208" s="176"/>
      <c r="D1208" s="176"/>
      <c r="E1208" s="174"/>
      <c r="F1208" s="23" t="s">
        <v>60</v>
      </c>
      <c r="G1208" s="23" t="s">
        <v>70</v>
      </c>
      <c r="H1208" s="21"/>
    </row>
    <row r="1209" spans="1:8" x14ac:dyDescent="0.6">
      <c r="A1209" s="174" t="s">
        <v>178</v>
      </c>
      <c r="B1209" s="73">
        <v>9</v>
      </c>
      <c r="C1209" s="176"/>
      <c r="D1209" s="176"/>
      <c r="E1209" s="174"/>
      <c r="F1209" s="23" t="s">
        <v>60</v>
      </c>
      <c r="G1209" s="23" t="s">
        <v>70</v>
      </c>
      <c r="H1209" s="21"/>
    </row>
    <row r="1210" spans="1:8" x14ac:dyDescent="0.6">
      <c r="A1210" s="174" t="s">
        <v>178</v>
      </c>
      <c r="B1210" s="73">
        <v>9</v>
      </c>
      <c r="C1210" s="176"/>
      <c r="D1210" s="176"/>
      <c r="E1210" s="174"/>
      <c r="F1210" s="23" t="s">
        <v>60</v>
      </c>
      <c r="G1210" s="23" t="s">
        <v>67</v>
      </c>
    </row>
    <row r="1211" spans="1:8" x14ac:dyDescent="0.6">
      <c r="A1211" s="174" t="s">
        <v>178</v>
      </c>
      <c r="B1211" s="73">
        <v>9</v>
      </c>
      <c r="C1211" s="176"/>
      <c r="D1211" s="176"/>
      <c r="E1211" s="174"/>
      <c r="F1211" s="23" t="s">
        <v>60</v>
      </c>
      <c r="G1211" s="23" t="s">
        <v>61</v>
      </c>
    </row>
    <row r="1212" spans="1:8" x14ac:dyDescent="0.6">
      <c r="A1212" s="174" t="s">
        <v>178</v>
      </c>
      <c r="B1212" s="73">
        <v>9</v>
      </c>
      <c r="C1212" s="176"/>
      <c r="D1212" s="176"/>
      <c r="E1212" s="174"/>
      <c r="F1212" s="23" t="s">
        <v>60</v>
      </c>
      <c r="G1212" s="23" t="s">
        <v>70</v>
      </c>
    </row>
    <row r="1213" spans="1:8" x14ac:dyDescent="0.6">
      <c r="A1213" s="174" t="s">
        <v>178</v>
      </c>
      <c r="B1213" s="73">
        <v>9</v>
      </c>
      <c r="C1213" s="176"/>
      <c r="D1213" s="177"/>
      <c r="E1213" s="174"/>
      <c r="F1213" s="23" t="s">
        <v>65</v>
      </c>
    </row>
    <row r="1214" spans="1:8" x14ac:dyDescent="0.6">
      <c r="A1214" s="174" t="s">
        <v>178</v>
      </c>
      <c r="B1214" s="73">
        <v>9</v>
      </c>
      <c r="C1214" s="176"/>
      <c r="D1214" s="176"/>
      <c r="E1214" s="174"/>
      <c r="F1214" s="23" t="s">
        <v>60</v>
      </c>
      <c r="G1214" s="23" t="s">
        <v>70</v>
      </c>
    </row>
    <row r="1215" spans="1:8" x14ac:dyDescent="0.6">
      <c r="A1215" s="174" t="s">
        <v>178</v>
      </c>
      <c r="B1215" s="73">
        <v>9</v>
      </c>
      <c r="C1215" s="176"/>
      <c r="D1215" s="176"/>
      <c r="E1215" s="174"/>
      <c r="F1215" s="23" t="s">
        <v>60</v>
      </c>
      <c r="G1215" s="23" t="s">
        <v>77</v>
      </c>
    </row>
    <row r="1216" spans="1:8" x14ac:dyDescent="0.6">
      <c r="A1216" s="174" t="s">
        <v>178</v>
      </c>
      <c r="B1216" s="73">
        <v>9</v>
      </c>
      <c r="C1216" s="176"/>
      <c r="D1216" s="176"/>
      <c r="E1216" s="174"/>
      <c r="F1216" s="23" t="s">
        <v>60</v>
      </c>
      <c r="G1216" s="23" t="s">
        <v>61</v>
      </c>
    </row>
    <row r="1217" spans="1:7" x14ac:dyDescent="0.6">
      <c r="A1217" s="174" t="s">
        <v>178</v>
      </c>
      <c r="B1217" s="73">
        <v>9</v>
      </c>
      <c r="C1217" s="176"/>
      <c r="D1217" s="177"/>
      <c r="E1217" s="174"/>
      <c r="F1217" s="23" t="s">
        <v>65</v>
      </c>
    </row>
    <row r="1218" spans="1:7" x14ac:dyDescent="0.6">
      <c r="A1218" s="174" t="s">
        <v>178</v>
      </c>
      <c r="B1218" s="73">
        <v>9</v>
      </c>
      <c r="C1218" s="176"/>
      <c r="D1218" s="176"/>
      <c r="E1218" s="174"/>
      <c r="F1218" s="23" t="s">
        <v>58</v>
      </c>
      <c r="G1218" s="23" t="s">
        <v>59</v>
      </c>
    </row>
    <row r="1219" spans="1:7" x14ac:dyDescent="0.6">
      <c r="A1219" s="174" t="s">
        <v>178</v>
      </c>
      <c r="B1219" s="73">
        <v>9</v>
      </c>
      <c r="C1219" s="176"/>
      <c r="D1219" s="177"/>
      <c r="E1219" s="174"/>
      <c r="F1219" s="23" t="s">
        <v>65</v>
      </c>
    </row>
    <row r="1220" spans="1:7" x14ac:dyDescent="0.6">
      <c r="A1220" s="188" t="s">
        <v>179</v>
      </c>
      <c r="B1220" s="73">
        <v>9</v>
      </c>
      <c r="C1220" s="189"/>
      <c r="D1220" s="189"/>
      <c r="E1220" s="190"/>
      <c r="F1220" s="33" t="s">
        <v>68</v>
      </c>
    </row>
    <row r="1221" spans="1:7" x14ac:dyDescent="0.6">
      <c r="A1221" s="188" t="s">
        <v>179</v>
      </c>
      <c r="B1221" s="73">
        <v>9</v>
      </c>
      <c r="C1221" s="189"/>
      <c r="D1221" s="189"/>
      <c r="E1221" s="190"/>
      <c r="F1221" s="33" t="s">
        <v>68</v>
      </c>
    </row>
    <row r="1222" spans="1:7" x14ac:dyDescent="0.6">
      <c r="A1222" s="188" t="s">
        <v>179</v>
      </c>
      <c r="B1222" s="73">
        <v>9</v>
      </c>
      <c r="C1222" s="189"/>
      <c r="D1222" s="189"/>
      <c r="E1222" s="190"/>
      <c r="F1222" s="33" t="s">
        <v>68</v>
      </c>
    </row>
    <row r="1223" spans="1:7" x14ac:dyDescent="0.6">
      <c r="A1223" s="188" t="s">
        <v>179</v>
      </c>
      <c r="B1223" s="73">
        <v>9</v>
      </c>
      <c r="C1223" s="189"/>
      <c r="D1223" s="189"/>
      <c r="E1223" s="190"/>
      <c r="F1223" s="23" t="s">
        <v>60</v>
      </c>
      <c r="G1223" s="23" t="s">
        <v>67</v>
      </c>
    </row>
    <row r="1224" spans="1:7" x14ac:dyDescent="0.6">
      <c r="A1224" s="188" t="s">
        <v>180</v>
      </c>
      <c r="B1224" s="73">
        <v>9</v>
      </c>
      <c r="C1224" s="189"/>
      <c r="D1224" s="189"/>
      <c r="E1224" s="190"/>
      <c r="F1224" s="33" t="s">
        <v>68</v>
      </c>
    </row>
    <row r="1225" spans="1:7" x14ac:dyDescent="0.6">
      <c r="A1225" s="188" t="s">
        <v>180</v>
      </c>
      <c r="B1225" s="73">
        <v>9</v>
      </c>
      <c r="C1225" s="189"/>
      <c r="D1225" s="189"/>
      <c r="E1225" s="190"/>
      <c r="F1225" s="23" t="s">
        <v>65</v>
      </c>
    </row>
    <row r="1226" spans="1:7" x14ac:dyDescent="0.6">
      <c r="A1226" s="188" t="s">
        <v>180</v>
      </c>
      <c r="B1226" s="73">
        <v>9</v>
      </c>
      <c r="C1226" s="189"/>
      <c r="D1226" s="189"/>
      <c r="E1226" s="190"/>
      <c r="F1226" s="23" t="s">
        <v>60</v>
      </c>
      <c r="G1226" s="23" t="s">
        <v>67</v>
      </c>
    </row>
    <row r="1227" spans="1:7" x14ac:dyDescent="0.6">
      <c r="A1227" s="188" t="s">
        <v>180</v>
      </c>
      <c r="B1227" s="73">
        <v>9</v>
      </c>
      <c r="C1227" s="189"/>
      <c r="D1227" s="189"/>
      <c r="E1227" s="190"/>
      <c r="F1227" s="23" t="s">
        <v>58</v>
      </c>
      <c r="G1227" s="23" t="s">
        <v>44</v>
      </c>
    </row>
    <row r="1228" spans="1:7" x14ac:dyDescent="0.6">
      <c r="A1228" s="188" t="s">
        <v>180</v>
      </c>
      <c r="B1228" s="73">
        <v>9</v>
      </c>
      <c r="C1228" s="189"/>
      <c r="D1228" s="189"/>
      <c r="E1228" s="190"/>
      <c r="F1228" s="23" t="s">
        <v>60</v>
      </c>
      <c r="G1228" s="23" t="s">
        <v>67</v>
      </c>
    </row>
    <row r="1229" spans="1:7" x14ac:dyDescent="0.6">
      <c r="A1229" s="188" t="s">
        <v>180</v>
      </c>
      <c r="B1229" s="73">
        <v>9</v>
      </c>
      <c r="C1229" s="189"/>
      <c r="D1229" s="189"/>
      <c r="E1229" s="190"/>
      <c r="F1229" s="23" t="s">
        <v>60</v>
      </c>
      <c r="G1229" s="23" t="s">
        <v>61</v>
      </c>
    </row>
    <row r="1230" spans="1:7" x14ac:dyDescent="0.6">
      <c r="A1230" s="188" t="s">
        <v>180</v>
      </c>
      <c r="B1230" s="73">
        <v>9</v>
      </c>
      <c r="C1230" s="189"/>
      <c r="D1230" s="189"/>
      <c r="E1230" s="190"/>
      <c r="F1230" s="23" t="s">
        <v>58</v>
      </c>
      <c r="G1230" s="23" t="s">
        <v>72</v>
      </c>
    </row>
    <row r="1231" spans="1:7" x14ac:dyDescent="0.6">
      <c r="A1231" s="188" t="s">
        <v>180</v>
      </c>
      <c r="B1231" s="73">
        <v>9</v>
      </c>
      <c r="C1231" s="189"/>
      <c r="D1231" s="189"/>
      <c r="E1231" s="190"/>
      <c r="F1231" s="23" t="s">
        <v>60</v>
      </c>
      <c r="G1231" s="23" t="s">
        <v>67</v>
      </c>
    </row>
    <row r="1232" spans="1:7" x14ac:dyDescent="0.6">
      <c r="A1232" s="188" t="s">
        <v>180</v>
      </c>
      <c r="B1232" s="73">
        <v>9</v>
      </c>
      <c r="C1232" s="189"/>
      <c r="D1232" s="189"/>
      <c r="E1232" s="190"/>
      <c r="F1232" s="23" t="s">
        <v>60</v>
      </c>
      <c r="G1232" s="23" t="s">
        <v>67</v>
      </c>
    </row>
    <row r="1233" spans="1:7" x14ac:dyDescent="0.6">
      <c r="A1233" s="188" t="s">
        <v>180</v>
      </c>
      <c r="B1233" s="73">
        <v>9</v>
      </c>
      <c r="C1233" s="189"/>
      <c r="D1233" s="189"/>
      <c r="E1233" s="190"/>
      <c r="F1233" s="23" t="s">
        <v>60</v>
      </c>
      <c r="G1233" s="23" t="s">
        <v>61</v>
      </c>
    </row>
    <row r="1234" spans="1:7" x14ac:dyDescent="0.6">
      <c r="A1234" s="188" t="s">
        <v>180</v>
      </c>
      <c r="B1234" s="73">
        <v>9</v>
      </c>
      <c r="C1234" s="189"/>
      <c r="D1234" s="189"/>
      <c r="E1234" s="190"/>
      <c r="F1234" s="23" t="s">
        <v>58</v>
      </c>
      <c r="G1234" s="23" t="s">
        <v>75</v>
      </c>
    </row>
    <row r="1235" spans="1:7" x14ac:dyDescent="0.6">
      <c r="A1235" s="188" t="s">
        <v>180</v>
      </c>
      <c r="B1235" s="73">
        <v>9</v>
      </c>
      <c r="C1235" s="189"/>
      <c r="D1235" s="189"/>
      <c r="E1235" s="190"/>
      <c r="F1235" s="23" t="s">
        <v>66</v>
      </c>
    </row>
    <row r="1236" spans="1:7" x14ac:dyDescent="0.6">
      <c r="A1236" s="188" t="s">
        <v>180</v>
      </c>
      <c r="B1236" s="73">
        <v>9</v>
      </c>
      <c r="C1236" s="189"/>
      <c r="D1236" s="189"/>
      <c r="E1236" s="190"/>
      <c r="F1236" s="27" t="s">
        <v>63</v>
      </c>
    </row>
    <row r="1237" spans="1:7" x14ac:dyDescent="0.6">
      <c r="A1237" s="188" t="s">
        <v>180</v>
      </c>
      <c r="B1237" s="73">
        <v>9</v>
      </c>
      <c r="C1237" s="189"/>
      <c r="D1237" s="189"/>
      <c r="E1237" s="190"/>
      <c r="F1237" s="27" t="s">
        <v>63</v>
      </c>
    </row>
    <row r="1238" spans="1:7" x14ac:dyDescent="0.6">
      <c r="A1238" s="188" t="s">
        <v>180</v>
      </c>
      <c r="B1238" s="73">
        <v>9</v>
      </c>
      <c r="C1238" s="189"/>
      <c r="D1238" s="189"/>
      <c r="E1238" s="190"/>
      <c r="F1238" s="27" t="s">
        <v>63</v>
      </c>
    </row>
    <row r="1239" spans="1:7" x14ac:dyDescent="0.6">
      <c r="A1239" s="188" t="s">
        <v>180</v>
      </c>
      <c r="B1239" s="73">
        <v>9</v>
      </c>
      <c r="C1239" s="189"/>
      <c r="D1239" s="189"/>
      <c r="E1239" s="190"/>
      <c r="F1239" s="27" t="s">
        <v>63</v>
      </c>
    </row>
    <row r="1240" spans="1:7" x14ac:dyDescent="0.6">
      <c r="A1240" s="188" t="s">
        <v>180</v>
      </c>
      <c r="B1240" s="73">
        <v>9</v>
      </c>
      <c r="C1240" s="189"/>
      <c r="D1240" s="191"/>
      <c r="E1240" s="190"/>
      <c r="F1240" s="23" t="s">
        <v>69</v>
      </c>
      <c r="G1240" s="23" t="s">
        <v>69</v>
      </c>
    </row>
    <row r="1241" spans="1:7" x14ac:dyDescent="0.6">
      <c r="A1241" s="192" t="s">
        <v>180</v>
      </c>
      <c r="B1241" s="73">
        <v>9</v>
      </c>
      <c r="E1241" s="21"/>
      <c r="F1241" s="33" t="s">
        <v>68</v>
      </c>
    </row>
    <row r="1242" spans="1:7" x14ac:dyDescent="0.6">
      <c r="A1242" s="192" t="s">
        <v>180</v>
      </c>
      <c r="B1242" s="73">
        <v>9</v>
      </c>
      <c r="E1242" s="21"/>
      <c r="F1242" s="27" t="s">
        <v>63</v>
      </c>
    </row>
    <row r="1243" spans="1:7" x14ac:dyDescent="0.6">
      <c r="A1243" s="193" t="s">
        <v>181</v>
      </c>
      <c r="B1243" s="73">
        <v>10</v>
      </c>
      <c r="C1243" s="189"/>
      <c r="D1243" s="189"/>
      <c r="E1243" s="190"/>
      <c r="F1243" s="23" t="s">
        <v>60</v>
      </c>
      <c r="G1243" s="23" t="s">
        <v>73</v>
      </c>
    </row>
    <row r="1244" spans="1:7" x14ac:dyDescent="0.6">
      <c r="A1244" s="193" t="s">
        <v>181</v>
      </c>
      <c r="B1244" s="73">
        <v>10</v>
      </c>
      <c r="C1244" s="189"/>
      <c r="D1244" s="189"/>
      <c r="E1244" s="190"/>
      <c r="F1244" s="23" t="s">
        <v>60</v>
      </c>
      <c r="G1244" s="23" t="s">
        <v>73</v>
      </c>
    </row>
    <row r="1245" spans="1:7" x14ac:dyDescent="0.6">
      <c r="A1245" s="193" t="s">
        <v>181</v>
      </c>
      <c r="B1245" s="73">
        <v>10</v>
      </c>
      <c r="C1245" s="189"/>
      <c r="D1245" s="189"/>
      <c r="E1245" s="190"/>
      <c r="F1245" s="23" t="s">
        <v>60</v>
      </c>
      <c r="G1245" s="23" t="s">
        <v>61</v>
      </c>
    </row>
    <row r="1246" spans="1:7" x14ac:dyDescent="0.6">
      <c r="A1246" s="193" t="s">
        <v>181</v>
      </c>
      <c r="B1246" s="73">
        <v>10</v>
      </c>
      <c r="C1246" s="189"/>
      <c r="D1246" s="189"/>
      <c r="E1246" s="190"/>
      <c r="F1246" s="23" t="s">
        <v>60</v>
      </c>
      <c r="G1246" s="23" t="s">
        <v>61</v>
      </c>
    </row>
    <row r="1247" spans="1:7" x14ac:dyDescent="0.6">
      <c r="A1247" s="193" t="s">
        <v>181</v>
      </c>
      <c r="B1247" s="73">
        <v>10</v>
      </c>
      <c r="C1247" s="189"/>
      <c r="D1247" s="189"/>
      <c r="E1247" s="190"/>
      <c r="F1247" s="23" t="s">
        <v>60</v>
      </c>
      <c r="G1247" s="23" t="s">
        <v>61</v>
      </c>
    </row>
    <row r="1248" spans="1:7" x14ac:dyDescent="0.6">
      <c r="A1248" s="193" t="s">
        <v>181</v>
      </c>
      <c r="B1248" s="73">
        <v>10</v>
      </c>
      <c r="C1248" s="189"/>
      <c r="D1248" s="189"/>
      <c r="E1248" s="190"/>
      <c r="F1248" s="23" t="s">
        <v>58</v>
      </c>
      <c r="G1248" s="23" t="s">
        <v>59</v>
      </c>
    </row>
    <row r="1249" spans="1:7" x14ac:dyDescent="0.6">
      <c r="A1249" s="193" t="s">
        <v>181</v>
      </c>
      <c r="B1249" s="73">
        <v>10</v>
      </c>
      <c r="C1249" s="189"/>
      <c r="D1249" s="189"/>
      <c r="E1249" s="190"/>
      <c r="F1249" s="23" t="s">
        <v>58</v>
      </c>
      <c r="G1249" s="23" t="s">
        <v>59</v>
      </c>
    </row>
    <row r="1250" spans="1:7" x14ac:dyDescent="0.6">
      <c r="A1250" s="193" t="s">
        <v>181</v>
      </c>
      <c r="B1250" s="73">
        <v>10</v>
      </c>
      <c r="C1250" s="189"/>
      <c r="D1250" s="191"/>
      <c r="E1250" s="190"/>
      <c r="F1250" s="23" t="s">
        <v>69</v>
      </c>
      <c r="G1250" s="23" t="s">
        <v>69</v>
      </c>
    </row>
    <row r="1251" spans="1:7" x14ac:dyDescent="0.6">
      <c r="A1251" s="194" t="s">
        <v>182</v>
      </c>
      <c r="B1251" s="73">
        <v>10</v>
      </c>
      <c r="C1251" s="189"/>
      <c r="D1251" s="189"/>
      <c r="E1251" s="190"/>
      <c r="F1251" s="33" t="s">
        <v>68</v>
      </c>
    </row>
    <row r="1252" spans="1:7" x14ac:dyDescent="0.6">
      <c r="A1252" s="193" t="s">
        <v>182</v>
      </c>
      <c r="B1252" s="73">
        <v>10</v>
      </c>
      <c r="C1252" s="189"/>
      <c r="D1252" s="191"/>
      <c r="E1252" s="190"/>
      <c r="F1252" s="23" t="s">
        <v>69</v>
      </c>
      <c r="G1252" s="23" t="s">
        <v>69</v>
      </c>
    </row>
    <row r="1253" spans="1:7" x14ac:dyDescent="0.6">
      <c r="A1253" s="194" t="s">
        <v>183</v>
      </c>
      <c r="B1253" s="73">
        <v>10</v>
      </c>
      <c r="C1253" s="189"/>
      <c r="D1253" s="189"/>
      <c r="E1253" s="190"/>
      <c r="F1253" s="33" t="s">
        <v>68</v>
      </c>
    </row>
    <row r="1254" spans="1:7" x14ac:dyDescent="0.6">
      <c r="A1254" s="194" t="s">
        <v>183</v>
      </c>
      <c r="B1254" s="73">
        <v>10</v>
      </c>
      <c r="C1254" s="189"/>
      <c r="D1254" s="189"/>
      <c r="E1254" s="190"/>
      <c r="F1254" s="33" t="s">
        <v>68</v>
      </c>
    </row>
    <row r="1255" spans="1:7" x14ac:dyDescent="0.6">
      <c r="A1255" s="194" t="s">
        <v>183</v>
      </c>
      <c r="B1255" s="73">
        <v>10</v>
      </c>
      <c r="C1255" s="191"/>
      <c r="D1255" s="189"/>
      <c r="E1255" s="190"/>
      <c r="F1255" s="33" t="s">
        <v>64</v>
      </c>
    </row>
    <row r="1256" spans="1:7" x14ac:dyDescent="0.6">
      <c r="A1256" s="193" t="s">
        <v>183</v>
      </c>
      <c r="B1256" s="73">
        <v>10</v>
      </c>
      <c r="C1256" s="189"/>
      <c r="D1256" s="191"/>
      <c r="E1256" s="190"/>
      <c r="F1256" s="23" t="s">
        <v>69</v>
      </c>
      <c r="G1256" s="23" t="s">
        <v>69</v>
      </c>
    </row>
    <row r="1257" spans="1:7" x14ac:dyDescent="0.6">
      <c r="A1257" s="193" t="s">
        <v>183</v>
      </c>
      <c r="B1257" s="73">
        <v>10</v>
      </c>
      <c r="C1257" s="189"/>
      <c r="D1257" s="189"/>
      <c r="E1257" s="190"/>
      <c r="F1257" s="27" t="s">
        <v>63</v>
      </c>
    </row>
    <row r="1258" spans="1:7" x14ac:dyDescent="0.6">
      <c r="A1258" s="194" t="s">
        <v>184</v>
      </c>
      <c r="B1258" s="73">
        <v>10</v>
      </c>
      <c r="C1258" s="189"/>
      <c r="D1258" s="189"/>
      <c r="E1258" s="190"/>
      <c r="F1258" s="33" t="s">
        <v>68</v>
      </c>
    </row>
    <row r="1259" spans="1:7" x14ac:dyDescent="0.6">
      <c r="A1259" s="193" t="s">
        <v>184</v>
      </c>
      <c r="B1259" s="73">
        <v>10</v>
      </c>
      <c r="C1259" s="189"/>
      <c r="D1259" s="191"/>
      <c r="E1259" s="190"/>
      <c r="F1259" s="23" t="s">
        <v>69</v>
      </c>
      <c r="G1259" s="23" t="s">
        <v>69</v>
      </c>
    </row>
    <row r="1260" spans="1:7" x14ac:dyDescent="0.6">
      <c r="A1260" s="193" t="s">
        <v>184</v>
      </c>
      <c r="B1260" s="73">
        <v>10</v>
      </c>
      <c r="C1260" s="189"/>
      <c r="D1260" s="191"/>
      <c r="E1260" s="190"/>
      <c r="F1260" s="23" t="s">
        <v>69</v>
      </c>
      <c r="G1260" s="23" t="s">
        <v>69</v>
      </c>
    </row>
    <row r="1261" spans="1:7" x14ac:dyDescent="0.6">
      <c r="A1261" s="193" t="s">
        <v>184</v>
      </c>
      <c r="B1261" s="73">
        <v>10</v>
      </c>
      <c r="C1261" s="189"/>
      <c r="D1261" s="191"/>
      <c r="E1261" s="190"/>
      <c r="F1261" s="23" t="s">
        <v>69</v>
      </c>
      <c r="G1261" s="23" t="s">
        <v>69</v>
      </c>
    </row>
    <row r="1262" spans="1:7" x14ac:dyDescent="0.6">
      <c r="A1262" s="194" t="s">
        <v>185</v>
      </c>
      <c r="B1262" s="73">
        <v>10</v>
      </c>
      <c r="C1262" s="189"/>
      <c r="D1262" s="189"/>
      <c r="E1262" s="190"/>
      <c r="F1262" s="33" t="s">
        <v>68</v>
      </c>
    </row>
    <row r="1263" spans="1:7" x14ac:dyDescent="0.6">
      <c r="A1263" s="193" t="s">
        <v>185</v>
      </c>
      <c r="B1263" s="73">
        <v>10</v>
      </c>
      <c r="C1263" s="189"/>
      <c r="D1263" s="189"/>
      <c r="E1263" s="190"/>
      <c r="F1263" s="23" t="s">
        <v>60</v>
      </c>
      <c r="G1263" s="23" t="s">
        <v>67</v>
      </c>
    </row>
    <row r="1264" spans="1:7" x14ac:dyDescent="0.6">
      <c r="A1264" s="193" t="s">
        <v>185</v>
      </c>
      <c r="B1264" s="73">
        <v>10</v>
      </c>
      <c r="C1264" s="189"/>
      <c r="D1264" s="189"/>
      <c r="E1264" s="190"/>
      <c r="F1264" s="23" t="s">
        <v>60</v>
      </c>
      <c r="G1264" s="23" t="s">
        <v>61</v>
      </c>
    </row>
    <row r="1265" spans="1:7" x14ac:dyDescent="0.6">
      <c r="A1265" s="193" t="s">
        <v>185</v>
      </c>
      <c r="B1265" s="73">
        <v>10</v>
      </c>
      <c r="C1265" s="189"/>
      <c r="D1265" s="195"/>
      <c r="E1265" s="190"/>
      <c r="F1265" s="27" t="s">
        <v>63</v>
      </c>
    </row>
    <row r="1266" spans="1:7" x14ac:dyDescent="0.6">
      <c r="A1266" s="193" t="s">
        <v>185</v>
      </c>
      <c r="B1266" s="73">
        <v>10</v>
      </c>
      <c r="C1266" s="189"/>
      <c r="D1266" s="191"/>
      <c r="E1266" s="190"/>
      <c r="F1266" s="23" t="s">
        <v>69</v>
      </c>
      <c r="G1266" s="23" t="s">
        <v>69</v>
      </c>
    </row>
    <row r="1267" spans="1:7" x14ac:dyDescent="0.6">
      <c r="A1267" s="193" t="s">
        <v>185</v>
      </c>
      <c r="B1267" s="73">
        <v>10</v>
      </c>
      <c r="C1267" s="189"/>
      <c r="D1267" s="189"/>
      <c r="E1267" s="190"/>
      <c r="F1267" s="23" t="s">
        <v>58</v>
      </c>
      <c r="G1267" s="23" t="s">
        <v>67</v>
      </c>
    </row>
    <row r="1268" spans="1:7" x14ac:dyDescent="0.6">
      <c r="A1268" s="193" t="s">
        <v>185</v>
      </c>
      <c r="B1268" s="73">
        <v>10</v>
      </c>
      <c r="C1268" s="189"/>
      <c r="D1268" s="189"/>
      <c r="E1268" s="190"/>
      <c r="F1268" s="23" t="s">
        <v>58</v>
      </c>
      <c r="G1268" s="23" t="s">
        <v>74</v>
      </c>
    </row>
    <row r="1269" spans="1:7" x14ac:dyDescent="0.6">
      <c r="A1269" s="193" t="s">
        <v>185</v>
      </c>
      <c r="B1269" s="73">
        <v>10</v>
      </c>
      <c r="C1269" s="189"/>
      <c r="D1269" s="189"/>
      <c r="E1269" s="190"/>
      <c r="F1269" s="23" t="s">
        <v>58</v>
      </c>
      <c r="G1269" s="23" t="s">
        <v>74</v>
      </c>
    </row>
    <row r="1270" spans="1:7" x14ac:dyDescent="0.6">
      <c r="A1270" s="193" t="s">
        <v>185</v>
      </c>
      <c r="B1270" s="73">
        <v>10</v>
      </c>
      <c r="C1270" s="189"/>
      <c r="D1270" s="189"/>
      <c r="E1270" s="190"/>
      <c r="F1270" s="23" t="s">
        <v>58</v>
      </c>
      <c r="G1270" s="23" t="s">
        <v>74</v>
      </c>
    </row>
    <row r="1271" spans="1:7" x14ac:dyDescent="0.6">
      <c r="A1271" s="193" t="s">
        <v>185</v>
      </c>
      <c r="B1271" s="73">
        <v>10</v>
      </c>
      <c r="C1271" s="189"/>
      <c r="D1271" s="189"/>
      <c r="E1271" s="190"/>
      <c r="F1271" s="23" t="s">
        <v>65</v>
      </c>
    </row>
    <row r="1272" spans="1:7" x14ac:dyDescent="0.6">
      <c r="A1272" s="193" t="s">
        <v>185</v>
      </c>
      <c r="B1272" s="73">
        <v>10</v>
      </c>
      <c r="C1272" s="189"/>
      <c r="D1272" s="189"/>
      <c r="E1272" s="190"/>
      <c r="F1272" s="23" t="s">
        <v>65</v>
      </c>
    </row>
    <row r="1273" spans="1:7" x14ac:dyDescent="0.6">
      <c r="A1273" s="193" t="s">
        <v>185</v>
      </c>
      <c r="B1273" s="73">
        <v>10</v>
      </c>
      <c r="C1273" s="189"/>
      <c r="D1273" s="189"/>
      <c r="E1273" s="190"/>
      <c r="F1273" s="27" t="s">
        <v>63</v>
      </c>
    </row>
    <row r="1274" spans="1:7" x14ac:dyDescent="0.6">
      <c r="A1274" s="193" t="s">
        <v>185</v>
      </c>
      <c r="B1274" s="73">
        <v>10</v>
      </c>
      <c r="C1274" s="189"/>
      <c r="D1274" s="189"/>
      <c r="E1274" s="190"/>
      <c r="F1274" s="27" t="s">
        <v>63</v>
      </c>
    </row>
    <row r="1275" spans="1:7" x14ac:dyDescent="0.6">
      <c r="A1275" s="193" t="s">
        <v>185</v>
      </c>
      <c r="B1275" s="73">
        <v>10</v>
      </c>
      <c r="C1275" s="189"/>
      <c r="D1275" s="191"/>
      <c r="E1275" s="190"/>
      <c r="F1275" s="23" t="s">
        <v>69</v>
      </c>
      <c r="G1275" s="23" t="s">
        <v>69</v>
      </c>
    </row>
    <row r="1276" spans="1:7" x14ac:dyDescent="0.6">
      <c r="A1276" s="193" t="s">
        <v>185</v>
      </c>
      <c r="B1276" s="73">
        <v>10</v>
      </c>
      <c r="C1276" s="189"/>
      <c r="D1276" s="189"/>
      <c r="E1276" s="190"/>
      <c r="F1276" s="23" t="s">
        <v>65</v>
      </c>
    </row>
    <row r="1277" spans="1:7" x14ac:dyDescent="0.6">
      <c r="A1277" s="193" t="s">
        <v>185</v>
      </c>
      <c r="B1277" s="73">
        <v>10</v>
      </c>
      <c r="C1277" s="189"/>
      <c r="D1277" s="189"/>
      <c r="E1277" s="190"/>
      <c r="F1277" s="23" t="s">
        <v>65</v>
      </c>
    </row>
    <row r="1278" spans="1:7" x14ac:dyDescent="0.6">
      <c r="A1278" s="193" t="s">
        <v>185</v>
      </c>
      <c r="B1278" s="73">
        <v>10</v>
      </c>
      <c r="C1278" s="189"/>
      <c r="D1278" s="195"/>
      <c r="E1278" s="190"/>
      <c r="F1278" s="27" t="s">
        <v>63</v>
      </c>
    </row>
    <row r="1279" spans="1:7" x14ac:dyDescent="0.6">
      <c r="A1279" s="193" t="s">
        <v>185</v>
      </c>
      <c r="B1279" s="73">
        <v>10</v>
      </c>
      <c r="C1279" s="189"/>
      <c r="D1279" s="189"/>
      <c r="E1279" s="190"/>
      <c r="F1279" s="23" t="s">
        <v>65</v>
      </c>
    </row>
    <row r="1280" spans="1:7" x14ac:dyDescent="0.6">
      <c r="A1280" s="194" t="s">
        <v>186</v>
      </c>
      <c r="B1280" s="73">
        <v>10</v>
      </c>
      <c r="C1280" s="189"/>
      <c r="D1280" s="189"/>
      <c r="E1280" s="190"/>
      <c r="F1280" s="33" t="s">
        <v>68</v>
      </c>
    </row>
    <row r="1281" spans="1:7" x14ac:dyDescent="0.6">
      <c r="A1281" s="193" t="s">
        <v>186</v>
      </c>
      <c r="B1281" s="73">
        <v>10</v>
      </c>
      <c r="C1281" s="189"/>
      <c r="D1281" s="189"/>
      <c r="E1281" s="190"/>
      <c r="F1281" s="23" t="s">
        <v>58</v>
      </c>
      <c r="G1281" s="48" t="s">
        <v>76</v>
      </c>
    </row>
    <row r="1282" spans="1:7" x14ac:dyDescent="0.6">
      <c r="A1282" s="193" t="s">
        <v>186</v>
      </c>
      <c r="B1282" s="73">
        <v>10</v>
      </c>
      <c r="C1282" s="189"/>
      <c r="D1282" s="191"/>
      <c r="E1282" s="190"/>
      <c r="F1282" s="23" t="s">
        <v>69</v>
      </c>
      <c r="G1282" s="23" t="s">
        <v>69</v>
      </c>
    </row>
    <row r="1283" spans="1:7" x14ac:dyDescent="0.6">
      <c r="A1283" s="193" t="s">
        <v>186</v>
      </c>
      <c r="B1283" s="73">
        <v>10</v>
      </c>
      <c r="C1283" s="189"/>
      <c r="D1283" s="191"/>
      <c r="E1283" s="190"/>
      <c r="F1283" s="23" t="s">
        <v>69</v>
      </c>
      <c r="G1283" s="23" t="s">
        <v>69</v>
      </c>
    </row>
    <row r="1284" spans="1:7" x14ac:dyDescent="0.6">
      <c r="A1284" s="194" t="s">
        <v>187</v>
      </c>
      <c r="B1284" s="73">
        <v>10</v>
      </c>
      <c r="C1284" s="189"/>
      <c r="D1284" s="189"/>
      <c r="E1284" s="190"/>
      <c r="F1284" s="33" t="s">
        <v>68</v>
      </c>
    </row>
    <row r="1285" spans="1:7" x14ac:dyDescent="0.6">
      <c r="A1285" s="193" t="s">
        <v>187</v>
      </c>
      <c r="B1285" s="73">
        <v>10</v>
      </c>
      <c r="C1285" s="189"/>
      <c r="D1285" s="189"/>
      <c r="E1285" s="190"/>
      <c r="F1285" s="23" t="s">
        <v>58</v>
      </c>
      <c r="G1285" s="23" t="s">
        <v>67</v>
      </c>
    </row>
    <row r="1286" spans="1:7" x14ac:dyDescent="0.6">
      <c r="A1286" s="193" t="s">
        <v>187</v>
      </c>
      <c r="B1286" s="73">
        <v>10</v>
      </c>
      <c r="C1286" s="189"/>
      <c r="D1286" s="189"/>
      <c r="E1286" s="190"/>
      <c r="F1286" s="23" t="s">
        <v>58</v>
      </c>
      <c r="G1286" s="23" t="s">
        <v>59</v>
      </c>
    </row>
    <row r="1287" spans="1:7" x14ac:dyDescent="0.6">
      <c r="A1287" s="193" t="s">
        <v>187</v>
      </c>
      <c r="B1287" s="73">
        <v>10</v>
      </c>
      <c r="C1287" s="189"/>
      <c r="D1287" s="189"/>
      <c r="E1287" s="190"/>
      <c r="F1287" s="23" t="s">
        <v>58</v>
      </c>
      <c r="G1287" s="23" t="s">
        <v>44</v>
      </c>
    </row>
    <row r="1288" spans="1:7" x14ac:dyDescent="0.6">
      <c r="A1288" s="193" t="s">
        <v>187</v>
      </c>
      <c r="B1288" s="73">
        <v>10</v>
      </c>
      <c r="C1288" s="189"/>
      <c r="D1288" s="189"/>
      <c r="E1288" s="190"/>
      <c r="F1288" s="23" t="s">
        <v>60</v>
      </c>
      <c r="G1288" s="23" t="s">
        <v>81</v>
      </c>
    </row>
    <row r="1289" spans="1:7" x14ac:dyDescent="0.6">
      <c r="A1289" s="193" t="s">
        <v>187</v>
      </c>
      <c r="B1289" s="73">
        <v>10</v>
      </c>
      <c r="C1289" s="189"/>
      <c r="D1289" s="191"/>
      <c r="E1289" s="190"/>
      <c r="F1289" s="23" t="s">
        <v>69</v>
      </c>
      <c r="G1289" s="23" t="s">
        <v>69</v>
      </c>
    </row>
    <row r="1290" spans="1:7" x14ac:dyDescent="0.6">
      <c r="A1290" s="193" t="s">
        <v>187</v>
      </c>
      <c r="B1290" s="73">
        <v>10</v>
      </c>
      <c r="C1290" s="189"/>
      <c r="D1290" s="189"/>
      <c r="E1290" s="190"/>
      <c r="F1290" s="23" t="s">
        <v>58</v>
      </c>
      <c r="G1290" s="23" t="s">
        <v>67</v>
      </c>
    </row>
    <row r="1291" spans="1:7" x14ac:dyDescent="0.6">
      <c r="A1291" s="193" t="s">
        <v>187</v>
      </c>
      <c r="B1291" s="73">
        <v>10</v>
      </c>
      <c r="C1291" s="196"/>
      <c r="D1291" s="196"/>
      <c r="E1291" s="197"/>
      <c r="F1291" s="23" t="s">
        <v>58</v>
      </c>
      <c r="G1291" s="58" t="s">
        <v>79</v>
      </c>
    </row>
    <row r="1292" spans="1:7" x14ac:dyDescent="0.6">
      <c r="A1292" s="194" t="s">
        <v>188</v>
      </c>
      <c r="B1292" s="73">
        <v>10</v>
      </c>
      <c r="C1292" s="189"/>
      <c r="D1292" s="189"/>
      <c r="E1292" s="190"/>
      <c r="F1292" s="33" t="s">
        <v>68</v>
      </c>
    </row>
    <row r="1293" spans="1:7" x14ac:dyDescent="0.6">
      <c r="A1293" s="194" t="s">
        <v>188</v>
      </c>
      <c r="B1293" s="73">
        <v>10</v>
      </c>
      <c r="C1293" s="191"/>
      <c r="D1293" s="189"/>
      <c r="E1293" s="190"/>
      <c r="F1293" s="33" t="s">
        <v>64</v>
      </c>
    </row>
    <row r="1294" spans="1:7" x14ac:dyDescent="0.6">
      <c r="A1294" s="193" t="s">
        <v>188</v>
      </c>
      <c r="B1294" s="73">
        <v>10</v>
      </c>
      <c r="C1294" s="189"/>
      <c r="D1294" s="189"/>
      <c r="E1294" s="190"/>
      <c r="F1294" s="23" t="s">
        <v>58</v>
      </c>
      <c r="G1294" s="23" t="s">
        <v>189</v>
      </c>
    </row>
    <row r="1295" spans="1:7" x14ac:dyDescent="0.6">
      <c r="A1295" s="193" t="s">
        <v>188</v>
      </c>
      <c r="B1295" s="73">
        <v>10</v>
      </c>
      <c r="C1295" s="189"/>
      <c r="D1295" s="191"/>
      <c r="E1295" s="190"/>
      <c r="F1295" s="23" t="s">
        <v>69</v>
      </c>
      <c r="G1295" s="23" t="s">
        <v>69</v>
      </c>
    </row>
    <row r="1296" spans="1:7" x14ac:dyDescent="0.6">
      <c r="A1296" s="193" t="s">
        <v>188</v>
      </c>
      <c r="B1296" s="73">
        <v>10</v>
      </c>
      <c r="C1296" s="189"/>
      <c r="D1296" s="191"/>
      <c r="E1296" s="190"/>
      <c r="F1296" s="23" t="s">
        <v>69</v>
      </c>
      <c r="G1296" s="23" t="s">
        <v>69</v>
      </c>
    </row>
    <row r="1297" spans="1:7" x14ac:dyDescent="0.6">
      <c r="A1297" s="193" t="s">
        <v>188</v>
      </c>
      <c r="B1297" s="73">
        <v>10</v>
      </c>
      <c r="C1297" s="189"/>
      <c r="D1297" s="189"/>
      <c r="E1297" s="190"/>
      <c r="F1297" s="23" t="s">
        <v>58</v>
      </c>
      <c r="G1297" s="23" t="s">
        <v>67</v>
      </c>
    </row>
    <row r="1298" spans="1:7" x14ac:dyDescent="0.6">
      <c r="A1298" s="193" t="s">
        <v>188</v>
      </c>
      <c r="B1298" s="73">
        <v>10</v>
      </c>
      <c r="C1298" s="189"/>
      <c r="D1298" s="191"/>
      <c r="E1298" s="190"/>
      <c r="F1298" s="23" t="s">
        <v>69</v>
      </c>
      <c r="G1298" s="23" t="s">
        <v>69</v>
      </c>
    </row>
    <row r="1299" spans="1:7" x14ac:dyDescent="0.6">
      <c r="A1299" s="193" t="s">
        <v>188</v>
      </c>
      <c r="B1299" s="73">
        <v>10</v>
      </c>
      <c r="C1299" s="189"/>
      <c r="D1299" s="189"/>
      <c r="E1299" s="190"/>
      <c r="F1299" s="23" t="s">
        <v>60</v>
      </c>
      <c r="G1299" s="23" t="s">
        <v>67</v>
      </c>
    </row>
    <row r="1300" spans="1:7" x14ac:dyDescent="0.6">
      <c r="A1300" s="194" t="s">
        <v>190</v>
      </c>
      <c r="B1300" s="73">
        <v>10</v>
      </c>
      <c r="C1300" s="189"/>
      <c r="D1300" s="189"/>
      <c r="E1300" s="190"/>
      <c r="F1300" s="33" t="s">
        <v>68</v>
      </c>
    </row>
    <row r="1301" spans="1:7" x14ac:dyDescent="0.6">
      <c r="A1301" s="194" t="s">
        <v>190</v>
      </c>
      <c r="B1301" s="73">
        <v>10</v>
      </c>
      <c r="C1301" s="189"/>
      <c r="D1301" s="189"/>
      <c r="E1301" s="190"/>
      <c r="F1301" s="33" t="s">
        <v>68</v>
      </c>
    </row>
    <row r="1302" spans="1:7" x14ac:dyDescent="0.6">
      <c r="A1302" s="194" t="s">
        <v>190</v>
      </c>
      <c r="B1302" s="73">
        <v>10</v>
      </c>
      <c r="C1302" s="189"/>
      <c r="D1302" s="189"/>
      <c r="E1302" s="190"/>
      <c r="F1302" s="33" t="s">
        <v>68</v>
      </c>
    </row>
    <row r="1303" spans="1:7" x14ac:dyDescent="0.6">
      <c r="A1303" s="194" t="s">
        <v>190</v>
      </c>
      <c r="B1303" s="73">
        <v>10</v>
      </c>
      <c r="C1303" s="189"/>
      <c r="D1303" s="189"/>
      <c r="E1303" s="190"/>
      <c r="F1303" s="33" t="s">
        <v>68</v>
      </c>
    </row>
    <row r="1304" spans="1:7" x14ac:dyDescent="0.6">
      <c r="A1304" s="193" t="s">
        <v>190</v>
      </c>
      <c r="B1304" s="73">
        <v>10</v>
      </c>
      <c r="C1304" s="189"/>
      <c r="D1304" s="191"/>
      <c r="E1304" s="190"/>
      <c r="F1304" s="23" t="s">
        <v>69</v>
      </c>
      <c r="G1304" s="23" t="s">
        <v>69</v>
      </c>
    </row>
    <row r="1305" spans="1:7" x14ac:dyDescent="0.6">
      <c r="A1305" s="193" t="s">
        <v>191</v>
      </c>
      <c r="B1305" s="73">
        <v>10</v>
      </c>
      <c r="C1305" s="189"/>
      <c r="D1305" s="191"/>
      <c r="E1305" s="190"/>
      <c r="F1305" s="23" t="s">
        <v>69</v>
      </c>
      <c r="G1305" s="23" t="s">
        <v>69</v>
      </c>
    </row>
    <row r="1306" spans="1:7" x14ac:dyDescent="0.6">
      <c r="A1306" s="194" t="s">
        <v>192</v>
      </c>
      <c r="B1306" s="73">
        <v>10</v>
      </c>
      <c r="C1306" s="189"/>
      <c r="D1306" s="189"/>
      <c r="E1306" s="190"/>
      <c r="F1306" s="33" t="s">
        <v>68</v>
      </c>
    </row>
    <row r="1307" spans="1:7" x14ac:dyDescent="0.6">
      <c r="A1307" s="194" t="s">
        <v>192</v>
      </c>
      <c r="B1307" s="73">
        <v>10</v>
      </c>
      <c r="C1307" s="189"/>
      <c r="D1307" s="189"/>
      <c r="E1307" s="190"/>
      <c r="F1307" s="33" t="s">
        <v>68</v>
      </c>
    </row>
    <row r="1308" spans="1:7" x14ac:dyDescent="0.6">
      <c r="A1308" s="194" t="s">
        <v>192</v>
      </c>
      <c r="B1308" s="73">
        <v>10</v>
      </c>
      <c r="C1308" s="189"/>
      <c r="D1308" s="189"/>
      <c r="E1308" s="190"/>
      <c r="F1308" s="33" t="s">
        <v>68</v>
      </c>
    </row>
    <row r="1309" spans="1:7" x14ac:dyDescent="0.6">
      <c r="A1309" s="194" t="s">
        <v>192</v>
      </c>
      <c r="B1309" s="73">
        <v>10</v>
      </c>
      <c r="C1309" s="189"/>
      <c r="D1309" s="189"/>
      <c r="E1309" s="190"/>
      <c r="F1309" s="33" t="s">
        <v>68</v>
      </c>
    </row>
    <row r="1310" spans="1:7" x14ac:dyDescent="0.6">
      <c r="A1310" s="194" t="s">
        <v>192</v>
      </c>
      <c r="B1310" s="73">
        <v>10</v>
      </c>
      <c r="C1310" s="189"/>
      <c r="D1310" s="189"/>
      <c r="E1310" s="190"/>
      <c r="F1310" s="33" t="s">
        <v>68</v>
      </c>
    </row>
    <row r="1311" spans="1:7" x14ac:dyDescent="0.6">
      <c r="A1311" s="193" t="s">
        <v>192</v>
      </c>
      <c r="B1311" s="73">
        <v>10</v>
      </c>
      <c r="C1311" s="189"/>
      <c r="D1311" s="191"/>
      <c r="E1311" s="190"/>
      <c r="F1311" s="23" t="s">
        <v>69</v>
      </c>
      <c r="G1311" s="23" t="s">
        <v>69</v>
      </c>
    </row>
    <row r="1312" spans="1:7" x14ac:dyDescent="0.6">
      <c r="A1312" s="193" t="s">
        <v>192</v>
      </c>
      <c r="B1312" s="73">
        <v>10</v>
      </c>
      <c r="C1312" s="189"/>
      <c r="D1312" s="191"/>
      <c r="E1312" s="190"/>
      <c r="F1312" s="23" t="s">
        <v>69</v>
      </c>
      <c r="G1312" s="23" t="s">
        <v>69</v>
      </c>
    </row>
    <row r="1313" spans="1:7" x14ac:dyDescent="0.6">
      <c r="A1313" s="193" t="s">
        <v>192</v>
      </c>
      <c r="B1313" s="73">
        <v>10</v>
      </c>
      <c r="C1313" s="189"/>
      <c r="D1313" s="191"/>
      <c r="E1313" s="190"/>
      <c r="F1313" s="23" t="s">
        <v>69</v>
      </c>
      <c r="G1313" s="23" t="s">
        <v>69</v>
      </c>
    </row>
    <row r="1314" spans="1:7" x14ac:dyDescent="0.6">
      <c r="A1314" s="193" t="s">
        <v>192</v>
      </c>
      <c r="B1314" s="73">
        <v>10</v>
      </c>
      <c r="C1314" s="189"/>
      <c r="D1314" s="191"/>
      <c r="E1314" s="190"/>
      <c r="F1314" s="23" t="s">
        <v>69</v>
      </c>
      <c r="G1314" s="23" t="s">
        <v>69</v>
      </c>
    </row>
    <row r="1315" spans="1:7" x14ac:dyDescent="0.6">
      <c r="A1315" s="193" t="s">
        <v>192</v>
      </c>
      <c r="B1315" s="73">
        <v>10</v>
      </c>
      <c r="C1315" s="189"/>
      <c r="D1315" s="191"/>
      <c r="E1315" s="190"/>
      <c r="F1315" s="23" t="s">
        <v>69</v>
      </c>
      <c r="G1315" s="23" t="s">
        <v>69</v>
      </c>
    </row>
    <row r="1316" spans="1:7" x14ac:dyDescent="0.6">
      <c r="A1316" s="194" t="s">
        <v>193</v>
      </c>
      <c r="B1316" s="73">
        <v>10</v>
      </c>
      <c r="C1316" s="189"/>
      <c r="D1316" s="189"/>
      <c r="E1316" s="190"/>
      <c r="F1316" s="33" t="s">
        <v>68</v>
      </c>
    </row>
    <row r="1317" spans="1:7" x14ac:dyDescent="0.6">
      <c r="A1317" s="194" t="s">
        <v>193</v>
      </c>
      <c r="B1317" s="73">
        <v>10</v>
      </c>
      <c r="C1317" s="189"/>
      <c r="D1317" s="189"/>
      <c r="E1317" s="190"/>
      <c r="F1317" s="33" t="s">
        <v>68</v>
      </c>
    </row>
    <row r="1318" spans="1:7" x14ac:dyDescent="0.6">
      <c r="A1318" s="193" t="s">
        <v>193</v>
      </c>
      <c r="B1318" s="73">
        <v>10</v>
      </c>
      <c r="C1318" s="189"/>
      <c r="D1318" s="189"/>
      <c r="E1318" s="190"/>
      <c r="F1318" s="23" t="s">
        <v>58</v>
      </c>
      <c r="G1318" s="23" t="s">
        <v>67</v>
      </c>
    </row>
    <row r="1319" spans="1:7" x14ac:dyDescent="0.6">
      <c r="A1319" s="193" t="s">
        <v>193</v>
      </c>
      <c r="B1319" s="73">
        <v>10</v>
      </c>
      <c r="C1319" s="189"/>
      <c r="D1319" s="189"/>
      <c r="E1319" s="190"/>
      <c r="F1319" s="23" t="s">
        <v>60</v>
      </c>
      <c r="G1319" s="23" t="s">
        <v>81</v>
      </c>
    </row>
    <row r="1320" spans="1:7" x14ac:dyDescent="0.6">
      <c r="A1320" s="193" t="s">
        <v>193</v>
      </c>
      <c r="B1320" s="73">
        <v>10</v>
      </c>
      <c r="C1320" s="189"/>
      <c r="D1320" s="191"/>
      <c r="E1320" s="190"/>
      <c r="F1320" s="23" t="s">
        <v>69</v>
      </c>
      <c r="G1320" s="23" t="s">
        <v>69</v>
      </c>
    </row>
    <row r="1321" spans="1:7" x14ac:dyDescent="0.6">
      <c r="A1321" s="194" t="s">
        <v>194</v>
      </c>
      <c r="B1321" s="73">
        <v>10</v>
      </c>
      <c r="C1321" s="189"/>
      <c r="D1321" s="189"/>
      <c r="E1321" s="190"/>
      <c r="F1321" s="33" t="s">
        <v>68</v>
      </c>
    </row>
    <row r="1322" spans="1:7" x14ac:dyDescent="0.6">
      <c r="A1322" s="194" t="s">
        <v>194</v>
      </c>
      <c r="B1322" s="73">
        <v>10</v>
      </c>
      <c r="C1322" s="191"/>
      <c r="D1322" s="189"/>
      <c r="E1322" s="190"/>
      <c r="F1322" s="33" t="s">
        <v>64</v>
      </c>
    </row>
    <row r="1323" spans="1:7" x14ac:dyDescent="0.6">
      <c r="A1323" s="193" t="s">
        <v>194</v>
      </c>
      <c r="B1323" s="73">
        <v>10</v>
      </c>
      <c r="C1323" s="189"/>
      <c r="D1323" s="191"/>
      <c r="E1323" s="190"/>
      <c r="F1323" s="23" t="s">
        <v>69</v>
      </c>
      <c r="G1323" s="23" t="s">
        <v>69</v>
      </c>
    </row>
    <row r="1324" spans="1:7" x14ac:dyDescent="0.6">
      <c r="A1324" s="193" t="s">
        <v>194</v>
      </c>
      <c r="B1324" s="73">
        <v>10</v>
      </c>
      <c r="C1324" s="189"/>
      <c r="D1324" s="189"/>
      <c r="E1324" s="190"/>
      <c r="F1324" s="23" t="s">
        <v>58</v>
      </c>
      <c r="G1324" s="23" t="s">
        <v>67</v>
      </c>
    </row>
    <row r="1325" spans="1:7" x14ac:dyDescent="0.6">
      <c r="A1325" s="193" t="s">
        <v>194</v>
      </c>
      <c r="B1325" s="73">
        <v>10</v>
      </c>
      <c r="C1325" s="189"/>
      <c r="D1325" s="189"/>
      <c r="E1325" s="190"/>
      <c r="F1325" s="23" t="s">
        <v>58</v>
      </c>
      <c r="G1325" s="23" t="s">
        <v>67</v>
      </c>
    </row>
    <row r="1326" spans="1:7" x14ac:dyDescent="0.6">
      <c r="A1326" s="193" t="s">
        <v>194</v>
      </c>
      <c r="B1326" s="73">
        <v>10</v>
      </c>
      <c r="C1326" s="189"/>
      <c r="D1326" s="195"/>
      <c r="E1326" s="190"/>
      <c r="F1326" s="27" t="s">
        <v>63</v>
      </c>
    </row>
    <row r="1327" spans="1:7" x14ac:dyDescent="0.6">
      <c r="A1327" s="193" t="s">
        <v>194</v>
      </c>
      <c r="B1327" s="73">
        <v>10</v>
      </c>
      <c r="C1327" s="189"/>
      <c r="D1327" s="189"/>
      <c r="E1327" s="190"/>
      <c r="F1327" s="23" t="s">
        <v>58</v>
      </c>
      <c r="G1327" s="23" t="s">
        <v>44</v>
      </c>
    </row>
    <row r="1328" spans="1:7" x14ac:dyDescent="0.6">
      <c r="A1328" s="194" t="s">
        <v>194</v>
      </c>
      <c r="B1328" s="73">
        <v>10</v>
      </c>
      <c r="C1328" s="198"/>
      <c r="D1328" s="198"/>
      <c r="E1328" s="199"/>
      <c r="F1328" s="33" t="s">
        <v>68</v>
      </c>
    </row>
    <row r="1329" spans="1:7" x14ac:dyDescent="0.6">
      <c r="A1329" s="193" t="s">
        <v>195</v>
      </c>
      <c r="B1329" s="73">
        <v>10</v>
      </c>
      <c r="C1329" s="189"/>
      <c r="D1329" s="189"/>
      <c r="E1329" s="190"/>
      <c r="F1329" s="23" t="s">
        <v>65</v>
      </c>
    </row>
    <row r="1330" spans="1:7" x14ac:dyDescent="0.6">
      <c r="A1330" s="193" t="s">
        <v>195</v>
      </c>
      <c r="B1330" s="73">
        <v>10</v>
      </c>
      <c r="C1330" s="200"/>
      <c r="D1330" s="200"/>
      <c r="E1330" s="201"/>
      <c r="F1330" s="23" t="s">
        <v>58</v>
      </c>
      <c r="G1330" s="23" t="s">
        <v>59</v>
      </c>
    </row>
    <row r="1331" spans="1:7" x14ac:dyDescent="0.6">
      <c r="A1331" s="193" t="s">
        <v>195</v>
      </c>
      <c r="B1331" s="73">
        <v>10</v>
      </c>
      <c r="C1331" s="200"/>
      <c r="D1331" s="200"/>
      <c r="E1331" s="201"/>
      <c r="F1331" s="23" t="s">
        <v>65</v>
      </c>
    </row>
    <row r="1332" spans="1:7" x14ac:dyDescent="0.6">
      <c r="A1332" s="193" t="s">
        <v>196</v>
      </c>
      <c r="B1332" s="73">
        <v>10</v>
      </c>
      <c r="C1332" s="189"/>
      <c r="D1332" s="189"/>
      <c r="E1332" s="190"/>
      <c r="F1332" s="23" t="s">
        <v>60</v>
      </c>
      <c r="G1332" s="23" t="s">
        <v>67</v>
      </c>
    </row>
    <row r="1333" spans="1:7" x14ac:dyDescent="0.6">
      <c r="A1333" s="193" t="s">
        <v>196</v>
      </c>
      <c r="B1333" s="73">
        <v>10</v>
      </c>
      <c r="C1333" s="189"/>
      <c r="D1333" s="189"/>
      <c r="E1333" s="190"/>
      <c r="F1333" s="23" t="s">
        <v>60</v>
      </c>
      <c r="G1333" s="23" t="s">
        <v>70</v>
      </c>
    </row>
    <row r="1334" spans="1:7" x14ac:dyDescent="0.6">
      <c r="A1334" s="193" t="s">
        <v>196</v>
      </c>
      <c r="B1334" s="73">
        <v>10</v>
      </c>
      <c r="C1334" s="189"/>
      <c r="D1334" s="189"/>
      <c r="E1334" s="190"/>
      <c r="F1334" s="23" t="s">
        <v>60</v>
      </c>
      <c r="G1334" s="23" t="s">
        <v>70</v>
      </c>
    </row>
    <row r="1335" spans="1:7" x14ac:dyDescent="0.6">
      <c r="A1335" s="193" t="s">
        <v>196</v>
      </c>
      <c r="B1335" s="73">
        <v>10</v>
      </c>
      <c r="C1335" s="189"/>
      <c r="D1335" s="189"/>
      <c r="E1335" s="190"/>
      <c r="F1335" s="23" t="s">
        <v>60</v>
      </c>
      <c r="G1335" s="23" t="s">
        <v>61</v>
      </c>
    </row>
    <row r="1336" spans="1:7" x14ac:dyDescent="0.6">
      <c r="A1336" s="193" t="s">
        <v>196</v>
      </c>
      <c r="B1336" s="73">
        <v>10</v>
      </c>
      <c r="C1336" s="189"/>
      <c r="D1336" s="189"/>
      <c r="E1336" s="190"/>
      <c r="F1336" s="23" t="s">
        <v>60</v>
      </c>
      <c r="G1336" s="23" t="s">
        <v>197</v>
      </c>
    </row>
    <row r="1337" spans="1:7" x14ac:dyDescent="0.6">
      <c r="A1337" s="193" t="s">
        <v>196</v>
      </c>
      <c r="B1337" s="73">
        <v>10</v>
      </c>
      <c r="C1337" s="189"/>
      <c r="D1337" s="189"/>
      <c r="E1337" s="190"/>
      <c r="F1337" s="23" t="s">
        <v>60</v>
      </c>
      <c r="G1337" s="23" t="s">
        <v>70</v>
      </c>
    </row>
    <row r="1338" spans="1:7" x14ac:dyDescent="0.6">
      <c r="A1338" s="194" t="s">
        <v>198</v>
      </c>
      <c r="B1338" s="73">
        <v>10</v>
      </c>
      <c r="C1338" s="191"/>
      <c r="D1338" s="189"/>
      <c r="E1338" s="190"/>
      <c r="F1338" s="33" t="s">
        <v>64</v>
      </c>
    </row>
    <row r="1339" spans="1:7" x14ac:dyDescent="0.6">
      <c r="A1339" s="193" t="s">
        <v>198</v>
      </c>
      <c r="B1339" s="73">
        <v>10</v>
      </c>
      <c r="C1339" s="189"/>
      <c r="D1339" s="191"/>
      <c r="E1339" s="190"/>
      <c r="F1339" s="23" t="s">
        <v>69</v>
      </c>
      <c r="G1339" s="23" t="s">
        <v>69</v>
      </c>
    </row>
    <row r="1340" spans="1:7" x14ac:dyDescent="0.6">
      <c r="A1340" s="193" t="s">
        <v>198</v>
      </c>
      <c r="B1340" s="73">
        <v>10</v>
      </c>
      <c r="C1340" s="189"/>
      <c r="D1340" s="189"/>
      <c r="E1340" s="190"/>
      <c r="F1340" s="23" t="s">
        <v>58</v>
      </c>
      <c r="G1340" s="23" t="s">
        <v>44</v>
      </c>
    </row>
    <row r="1341" spans="1:7" x14ac:dyDescent="0.6">
      <c r="A1341" s="193" t="s">
        <v>198</v>
      </c>
      <c r="B1341" s="73">
        <v>10</v>
      </c>
      <c r="C1341" s="189"/>
      <c r="D1341" s="189"/>
      <c r="E1341" s="190"/>
      <c r="F1341" s="23" t="s">
        <v>60</v>
      </c>
      <c r="G1341" s="23" t="s">
        <v>67</v>
      </c>
    </row>
    <row r="1342" spans="1:7" x14ac:dyDescent="0.6">
      <c r="A1342" s="194" t="s">
        <v>199</v>
      </c>
      <c r="B1342" s="73">
        <v>10</v>
      </c>
      <c r="C1342" s="189"/>
      <c r="D1342" s="189"/>
      <c r="E1342" s="190"/>
      <c r="F1342" s="33" t="s">
        <v>68</v>
      </c>
    </row>
    <row r="1343" spans="1:7" x14ac:dyDescent="0.6">
      <c r="A1343" s="193" t="s">
        <v>199</v>
      </c>
      <c r="B1343" s="73">
        <v>10</v>
      </c>
      <c r="C1343" s="189"/>
      <c r="D1343" s="191"/>
      <c r="E1343" s="190"/>
      <c r="F1343" s="23" t="s">
        <v>69</v>
      </c>
      <c r="G1343" s="23" t="s">
        <v>69</v>
      </c>
    </row>
    <row r="1344" spans="1:7" x14ac:dyDescent="0.6">
      <c r="A1344" s="193" t="s">
        <v>199</v>
      </c>
      <c r="B1344" s="73">
        <v>10</v>
      </c>
      <c r="C1344" s="189"/>
      <c r="D1344" s="191"/>
      <c r="E1344" s="190"/>
      <c r="F1344" s="23" t="s">
        <v>69</v>
      </c>
      <c r="G1344" s="23" t="s">
        <v>69</v>
      </c>
    </row>
    <row r="1345" spans="1:7" x14ac:dyDescent="0.6">
      <c r="A1345" s="193" t="s">
        <v>199</v>
      </c>
      <c r="B1345" s="73">
        <v>10</v>
      </c>
      <c r="C1345" s="189"/>
      <c r="D1345" s="189"/>
      <c r="E1345" s="190"/>
      <c r="F1345" s="23" t="s">
        <v>58</v>
      </c>
      <c r="G1345" s="23" t="s">
        <v>189</v>
      </c>
    </row>
    <row r="1346" spans="1:7" x14ac:dyDescent="0.6">
      <c r="A1346" s="193" t="s">
        <v>199</v>
      </c>
      <c r="B1346" s="73">
        <v>10</v>
      </c>
      <c r="C1346" s="189"/>
      <c r="D1346" s="191"/>
      <c r="E1346" s="190"/>
      <c r="F1346" s="23" t="s">
        <v>69</v>
      </c>
      <c r="G1346" s="23" t="s">
        <v>69</v>
      </c>
    </row>
    <row r="1347" spans="1:7" x14ac:dyDescent="0.6">
      <c r="A1347" s="193" t="s">
        <v>199</v>
      </c>
      <c r="B1347" s="73">
        <v>10</v>
      </c>
      <c r="C1347" s="189"/>
      <c r="D1347" s="195"/>
      <c r="E1347" s="190"/>
      <c r="F1347" s="27" t="s">
        <v>63</v>
      </c>
    </row>
    <row r="1348" spans="1:7" x14ac:dyDescent="0.6">
      <c r="A1348" s="193" t="s">
        <v>199</v>
      </c>
      <c r="B1348" s="73">
        <v>10</v>
      </c>
      <c r="C1348" s="198"/>
      <c r="D1348" s="202"/>
      <c r="E1348" s="199"/>
      <c r="F1348" s="27" t="s">
        <v>63</v>
      </c>
    </row>
    <row r="1349" spans="1:7" x14ac:dyDescent="0.6">
      <c r="A1349" s="193" t="s">
        <v>199</v>
      </c>
      <c r="B1349" s="73">
        <v>10</v>
      </c>
      <c r="C1349" s="198"/>
      <c r="D1349" s="202"/>
      <c r="E1349" s="199"/>
      <c r="F1349" s="27" t="s">
        <v>63</v>
      </c>
    </row>
    <row r="1350" spans="1:7" x14ac:dyDescent="0.6">
      <c r="A1350" s="194" t="s">
        <v>200</v>
      </c>
      <c r="B1350" s="73">
        <v>10</v>
      </c>
      <c r="C1350" s="189"/>
      <c r="D1350" s="189"/>
      <c r="E1350" s="190"/>
      <c r="F1350" s="33" t="s">
        <v>68</v>
      </c>
    </row>
    <row r="1351" spans="1:7" x14ac:dyDescent="0.6">
      <c r="A1351" s="194" t="s">
        <v>200</v>
      </c>
      <c r="B1351" s="73">
        <v>10</v>
      </c>
      <c r="C1351" s="189"/>
      <c r="D1351" s="189"/>
      <c r="E1351" s="190"/>
      <c r="F1351" s="33" t="s">
        <v>68</v>
      </c>
    </row>
    <row r="1352" spans="1:7" x14ac:dyDescent="0.6">
      <c r="A1352" s="194" t="s">
        <v>200</v>
      </c>
      <c r="B1352" s="73">
        <v>10</v>
      </c>
      <c r="C1352" s="189"/>
      <c r="D1352" s="189"/>
      <c r="E1352" s="190"/>
      <c r="F1352" s="33" t="s">
        <v>68</v>
      </c>
    </row>
    <row r="1353" spans="1:7" x14ac:dyDescent="0.6">
      <c r="A1353" s="193" t="s">
        <v>200</v>
      </c>
      <c r="B1353" s="73">
        <v>10</v>
      </c>
      <c r="C1353" s="189"/>
      <c r="D1353" s="191"/>
      <c r="E1353" s="190"/>
      <c r="F1353" s="23" t="s">
        <v>69</v>
      </c>
      <c r="G1353" s="23" t="s">
        <v>69</v>
      </c>
    </row>
    <row r="1354" spans="1:7" x14ac:dyDescent="0.6">
      <c r="A1354" s="193" t="s">
        <v>200</v>
      </c>
      <c r="B1354" s="73">
        <v>10</v>
      </c>
      <c r="C1354" s="189"/>
      <c r="D1354" s="191"/>
      <c r="E1354" s="190"/>
      <c r="F1354" s="23" t="s">
        <v>69</v>
      </c>
      <c r="G1354" s="23" t="s">
        <v>69</v>
      </c>
    </row>
    <row r="1355" spans="1:7" x14ac:dyDescent="0.6">
      <c r="A1355" s="193" t="s">
        <v>200</v>
      </c>
      <c r="B1355" s="73">
        <v>10</v>
      </c>
      <c r="C1355" s="189"/>
      <c r="D1355" s="191"/>
      <c r="E1355" s="190"/>
      <c r="F1355" s="23" t="s">
        <v>69</v>
      </c>
      <c r="G1355" s="23" t="s">
        <v>69</v>
      </c>
    </row>
    <row r="1356" spans="1:7" x14ac:dyDescent="0.6">
      <c r="A1356" s="193" t="s">
        <v>200</v>
      </c>
      <c r="B1356" s="73">
        <v>10</v>
      </c>
      <c r="C1356" s="189"/>
      <c r="D1356" s="191"/>
      <c r="E1356" s="190"/>
      <c r="F1356" s="23" t="s">
        <v>69</v>
      </c>
      <c r="G1356" s="23" t="s">
        <v>69</v>
      </c>
    </row>
    <row r="1357" spans="1:7" x14ac:dyDescent="0.6">
      <c r="A1357" s="193" t="s">
        <v>200</v>
      </c>
      <c r="B1357" s="73">
        <v>10</v>
      </c>
      <c r="C1357" s="189"/>
      <c r="D1357" s="191"/>
      <c r="E1357" s="190"/>
      <c r="F1357" s="23" t="s">
        <v>69</v>
      </c>
      <c r="G1357" s="23" t="s">
        <v>69</v>
      </c>
    </row>
    <row r="1358" spans="1:7" x14ac:dyDescent="0.6">
      <c r="A1358" s="194" t="s">
        <v>201</v>
      </c>
      <c r="B1358" s="73">
        <v>10</v>
      </c>
      <c r="C1358" s="189"/>
      <c r="D1358" s="189"/>
      <c r="E1358" s="190"/>
      <c r="F1358" s="33" t="s">
        <v>68</v>
      </c>
    </row>
    <row r="1359" spans="1:7" x14ac:dyDescent="0.6">
      <c r="A1359" s="194" t="s">
        <v>201</v>
      </c>
      <c r="B1359" s="73">
        <v>10</v>
      </c>
      <c r="C1359" s="189"/>
      <c r="D1359" s="189"/>
      <c r="E1359" s="190"/>
      <c r="F1359" s="33" t="s">
        <v>68</v>
      </c>
    </row>
    <row r="1360" spans="1:7" x14ac:dyDescent="0.6">
      <c r="A1360" s="194" t="s">
        <v>201</v>
      </c>
      <c r="B1360" s="73">
        <v>10</v>
      </c>
      <c r="C1360" s="189"/>
      <c r="D1360" s="189"/>
      <c r="E1360" s="190"/>
      <c r="F1360" s="33" t="s">
        <v>68</v>
      </c>
    </row>
    <row r="1361" spans="1:7" x14ac:dyDescent="0.6">
      <c r="A1361" s="194" t="s">
        <v>201</v>
      </c>
      <c r="B1361" s="73">
        <v>10</v>
      </c>
      <c r="C1361" s="189"/>
      <c r="D1361" s="189"/>
      <c r="E1361" s="190"/>
      <c r="F1361" s="33" t="s">
        <v>68</v>
      </c>
    </row>
    <row r="1362" spans="1:7" x14ac:dyDescent="0.6">
      <c r="A1362" s="194" t="s">
        <v>201</v>
      </c>
      <c r="B1362" s="73">
        <v>10</v>
      </c>
      <c r="C1362" s="189"/>
      <c r="D1362" s="189"/>
      <c r="E1362" s="190"/>
      <c r="F1362" s="33" t="s">
        <v>68</v>
      </c>
    </row>
    <row r="1363" spans="1:7" x14ac:dyDescent="0.6">
      <c r="A1363" s="193" t="s">
        <v>201</v>
      </c>
      <c r="B1363" s="73">
        <v>10</v>
      </c>
      <c r="C1363" s="189"/>
      <c r="D1363" s="189"/>
      <c r="E1363" s="190"/>
      <c r="F1363" s="23" t="s">
        <v>65</v>
      </c>
    </row>
    <row r="1364" spans="1:7" x14ac:dyDescent="0.6">
      <c r="A1364" s="193" t="s">
        <v>201</v>
      </c>
      <c r="B1364" s="73">
        <v>10</v>
      </c>
      <c r="C1364" s="189"/>
      <c r="D1364" s="189"/>
      <c r="E1364" s="190"/>
      <c r="F1364" s="23" t="s">
        <v>60</v>
      </c>
      <c r="G1364" s="23" t="s">
        <v>67</v>
      </c>
    </row>
    <row r="1365" spans="1:7" x14ac:dyDescent="0.6">
      <c r="A1365" s="193" t="s">
        <v>201</v>
      </c>
      <c r="B1365" s="73">
        <v>10</v>
      </c>
      <c r="C1365" s="189"/>
      <c r="D1365" s="189"/>
      <c r="E1365" s="190"/>
      <c r="F1365" s="23" t="s">
        <v>58</v>
      </c>
      <c r="G1365" s="23" t="s">
        <v>44</v>
      </c>
    </row>
    <row r="1366" spans="1:7" x14ac:dyDescent="0.6">
      <c r="A1366" s="193" t="s">
        <v>201</v>
      </c>
      <c r="B1366" s="73">
        <v>10</v>
      </c>
      <c r="C1366" s="189"/>
      <c r="D1366" s="189"/>
      <c r="E1366" s="190"/>
      <c r="F1366" s="23" t="s">
        <v>60</v>
      </c>
      <c r="G1366" s="23" t="s">
        <v>67</v>
      </c>
    </row>
    <row r="1367" spans="1:7" x14ac:dyDescent="0.6">
      <c r="A1367" s="193" t="s">
        <v>201</v>
      </c>
      <c r="B1367" s="73">
        <v>10</v>
      </c>
      <c r="C1367" s="189"/>
      <c r="D1367" s="189"/>
      <c r="E1367" s="190"/>
      <c r="F1367" s="23" t="s">
        <v>60</v>
      </c>
      <c r="G1367" s="23" t="s">
        <v>61</v>
      </c>
    </row>
    <row r="1368" spans="1:7" x14ac:dyDescent="0.6">
      <c r="A1368" s="193" t="s">
        <v>201</v>
      </c>
      <c r="B1368" s="73">
        <v>10</v>
      </c>
      <c r="C1368" s="189"/>
      <c r="D1368" s="189"/>
      <c r="E1368" s="190"/>
      <c r="F1368" s="23" t="s">
        <v>58</v>
      </c>
      <c r="G1368" s="23" t="s">
        <v>72</v>
      </c>
    </row>
    <row r="1369" spans="1:7" x14ac:dyDescent="0.6">
      <c r="A1369" s="193" t="s">
        <v>201</v>
      </c>
      <c r="B1369" s="73">
        <v>10</v>
      </c>
      <c r="C1369" s="189"/>
      <c r="D1369" s="189"/>
      <c r="E1369" s="190"/>
      <c r="F1369" s="23" t="s">
        <v>60</v>
      </c>
      <c r="G1369" s="23" t="s">
        <v>67</v>
      </c>
    </row>
    <row r="1370" spans="1:7" x14ac:dyDescent="0.6">
      <c r="A1370" s="193" t="s">
        <v>201</v>
      </c>
      <c r="B1370" s="73">
        <v>10</v>
      </c>
      <c r="C1370" s="189"/>
      <c r="D1370" s="189"/>
      <c r="E1370" s="190"/>
      <c r="F1370" s="23" t="s">
        <v>60</v>
      </c>
      <c r="G1370" s="23" t="s">
        <v>67</v>
      </c>
    </row>
    <row r="1371" spans="1:7" x14ac:dyDescent="0.6">
      <c r="A1371" s="193" t="s">
        <v>201</v>
      </c>
      <c r="B1371" s="73">
        <v>10</v>
      </c>
      <c r="C1371" s="189"/>
      <c r="D1371" s="189"/>
      <c r="E1371" s="190"/>
      <c r="F1371" s="23" t="s">
        <v>60</v>
      </c>
      <c r="G1371" s="23" t="s">
        <v>61</v>
      </c>
    </row>
    <row r="1372" spans="1:7" x14ac:dyDescent="0.6">
      <c r="A1372" s="193" t="s">
        <v>201</v>
      </c>
      <c r="B1372" s="73">
        <v>10</v>
      </c>
      <c r="C1372" s="189"/>
      <c r="D1372" s="189"/>
      <c r="E1372" s="190"/>
      <c r="F1372" s="23" t="s">
        <v>58</v>
      </c>
      <c r="G1372" s="23" t="s">
        <v>75</v>
      </c>
    </row>
    <row r="1373" spans="1:7" x14ac:dyDescent="0.6">
      <c r="A1373" s="193" t="s">
        <v>201</v>
      </c>
      <c r="B1373" s="73">
        <v>10</v>
      </c>
      <c r="C1373" s="189"/>
      <c r="D1373" s="189"/>
      <c r="E1373" s="190"/>
      <c r="F1373" s="23" t="s">
        <v>66</v>
      </c>
    </row>
    <row r="1374" spans="1:7" x14ac:dyDescent="0.6">
      <c r="A1374" s="193" t="s">
        <v>201</v>
      </c>
      <c r="B1374" s="73">
        <v>10</v>
      </c>
      <c r="C1374" s="189"/>
      <c r="D1374" s="189"/>
      <c r="E1374" s="190"/>
      <c r="F1374" s="27" t="s">
        <v>63</v>
      </c>
    </row>
    <row r="1375" spans="1:7" x14ac:dyDescent="0.6">
      <c r="A1375" s="193" t="s">
        <v>201</v>
      </c>
      <c r="B1375" s="73">
        <v>10</v>
      </c>
      <c r="C1375" s="189"/>
      <c r="D1375" s="189"/>
      <c r="E1375" s="190"/>
      <c r="F1375" s="27" t="s">
        <v>63</v>
      </c>
    </row>
    <row r="1376" spans="1:7" x14ac:dyDescent="0.6">
      <c r="A1376" s="193" t="s">
        <v>201</v>
      </c>
      <c r="B1376" s="73">
        <v>10</v>
      </c>
      <c r="C1376" s="189"/>
      <c r="D1376" s="189"/>
      <c r="E1376" s="190"/>
      <c r="F1376" s="27" t="s">
        <v>63</v>
      </c>
    </row>
    <row r="1377" spans="1:7" x14ac:dyDescent="0.6">
      <c r="A1377" s="193" t="s">
        <v>201</v>
      </c>
      <c r="B1377" s="73">
        <v>10</v>
      </c>
      <c r="C1377" s="189"/>
      <c r="D1377" s="189"/>
      <c r="E1377" s="190"/>
      <c r="F1377" s="27" t="s">
        <v>63</v>
      </c>
    </row>
    <row r="1378" spans="1:7" x14ac:dyDescent="0.6">
      <c r="A1378" s="193" t="s">
        <v>201</v>
      </c>
      <c r="B1378" s="73">
        <v>10</v>
      </c>
      <c r="C1378" s="189"/>
      <c r="D1378" s="189"/>
      <c r="E1378" s="190"/>
      <c r="F1378" s="27" t="s">
        <v>63</v>
      </c>
    </row>
    <row r="1379" spans="1:7" x14ac:dyDescent="0.6">
      <c r="A1379" s="193" t="s">
        <v>201</v>
      </c>
      <c r="B1379" s="73">
        <v>10</v>
      </c>
      <c r="C1379" s="189"/>
      <c r="D1379" s="189"/>
      <c r="E1379" s="190"/>
      <c r="F1379" s="29" t="s">
        <v>37</v>
      </c>
    </row>
    <row r="1380" spans="1:7" x14ac:dyDescent="0.6">
      <c r="A1380" s="193" t="s">
        <v>201</v>
      </c>
      <c r="B1380" s="73">
        <v>10</v>
      </c>
      <c r="C1380" s="189"/>
      <c r="D1380" s="189"/>
      <c r="E1380" s="190"/>
      <c r="F1380" s="29" t="s">
        <v>37</v>
      </c>
    </row>
    <row r="1381" spans="1:7" x14ac:dyDescent="0.6">
      <c r="A1381" s="20" t="s">
        <v>202</v>
      </c>
      <c r="B1381" s="73">
        <v>11</v>
      </c>
      <c r="E1381" s="21"/>
      <c r="F1381" s="23" t="s">
        <v>60</v>
      </c>
      <c r="G1381" s="23" t="s">
        <v>73</v>
      </c>
    </row>
    <row r="1382" spans="1:7" x14ac:dyDescent="0.6">
      <c r="A1382" s="20" t="s">
        <v>202</v>
      </c>
      <c r="B1382" s="73">
        <v>11</v>
      </c>
      <c r="E1382" s="21"/>
      <c r="F1382" s="23" t="s">
        <v>60</v>
      </c>
      <c r="G1382" s="23" t="s">
        <v>73</v>
      </c>
    </row>
    <row r="1383" spans="1:7" x14ac:dyDescent="0.6">
      <c r="A1383" s="20" t="s">
        <v>202</v>
      </c>
      <c r="B1383" s="73">
        <v>11</v>
      </c>
      <c r="E1383" s="21"/>
      <c r="F1383" s="23" t="s">
        <v>60</v>
      </c>
      <c r="G1383" s="23" t="s">
        <v>61</v>
      </c>
    </row>
    <row r="1384" spans="1:7" x14ac:dyDescent="0.6">
      <c r="A1384" s="20" t="s">
        <v>202</v>
      </c>
      <c r="B1384" s="73">
        <v>11</v>
      </c>
      <c r="E1384" s="21"/>
      <c r="F1384" s="23" t="s">
        <v>60</v>
      </c>
      <c r="G1384" s="23" t="s">
        <v>61</v>
      </c>
    </row>
    <row r="1385" spans="1:7" x14ac:dyDescent="0.6">
      <c r="A1385" s="20" t="s">
        <v>202</v>
      </c>
      <c r="B1385" s="73">
        <v>11</v>
      </c>
      <c r="E1385" s="21"/>
      <c r="F1385" s="23" t="s">
        <v>60</v>
      </c>
      <c r="G1385" s="23" t="s">
        <v>61</v>
      </c>
    </row>
    <row r="1386" spans="1:7" x14ac:dyDescent="0.6">
      <c r="A1386" s="20" t="s">
        <v>202</v>
      </c>
      <c r="B1386" s="73">
        <v>11</v>
      </c>
      <c r="E1386" s="21"/>
      <c r="F1386" s="23" t="s">
        <v>58</v>
      </c>
      <c r="G1386" s="23" t="s">
        <v>59</v>
      </c>
    </row>
    <row r="1387" spans="1:7" x14ac:dyDescent="0.6">
      <c r="A1387" s="20" t="s">
        <v>202</v>
      </c>
      <c r="B1387" s="73">
        <v>11</v>
      </c>
      <c r="E1387" s="21"/>
      <c r="F1387" s="23" t="s">
        <v>69</v>
      </c>
      <c r="G1387" s="23" t="s">
        <v>69</v>
      </c>
    </row>
    <row r="1388" spans="1:7" x14ac:dyDescent="0.6">
      <c r="A1388" s="20" t="s">
        <v>202</v>
      </c>
      <c r="B1388" s="73">
        <v>11</v>
      </c>
      <c r="E1388" s="21"/>
      <c r="F1388" s="23" t="s">
        <v>69</v>
      </c>
      <c r="G1388" s="23" t="s">
        <v>69</v>
      </c>
    </row>
    <row r="1389" spans="1:7" x14ac:dyDescent="0.6">
      <c r="A1389" s="20" t="s">
        <v>203</v>
      </c>
      <c r="B1389" s="73">
        <v>11</v>
      </c>
      <c r="E1389" s="21"/>
      <c r="F1389" s="33" t="s">
        <v>68</v>
      </c>
    </row>
    <row r="1390" spans="1:7" x14ac:dyDescent="0.6">
      <c r="A1390" s="20" t="s">
        <v>203</v>
      </c>
      <c r="B1390" s="73">
        <v>11</v>
      </c>
      <c r="E1390" s="21"/>
      <c r="F1390" s="33" t="s">
        <v>68</v>
      </c>
    </row>
    <row r="1391" spans="1:7" x14ac:dyDescent="0.6">
      <c r="A1391" s="20" t="s">
        <v>203</v>
      </c>
      <c r="B1391" s="73">
        <v>11</v>
      </c>
      <c r="E1391" s="21"/>
      <c r="F1391" s="23" t="s">
        <v>69</v>
      </c>
      <c r="G1391" s="23" t="s">
        <v>69</v>
      </c>
    </row>
    <row r="1392" spans="1:7" x14ac:dyDescent="0.6">
      <c r="A1392" s="20" t="s">
        <v>204</v>
      </c>
      <c r="B1392" s="73">
        <v>11</v>
      </c>
      <c r="E1392" s="21"/>
      <c r="F1392" s="33" t="s">
        <v>68</v>
      </c>
    </row>
    <row r="1393" spans="1:7" x14ac:dyDescent="0.6">
      <c r="A1393" s="20" t="s">
        <v>204</v>
      </c>
      <c r="B1393" s="73">
        <v>11</v>
      </c>
      <c r="E1393" s="21"/>
      <c r="F1393" s="23" t="s">
        <v>69</v>
      </c>
      <c r="G1393" s="23" t="s">
        <v>69</v>
      </c>
    </row>
    <row r="1394" spans="1:7" x14ac:dyDescent="0.6">
      <c r="A1394" s="20" t="s">
        <v>204</v>
      </c>
      <c r="B1394" s="73">
        <v>11</v>
      </c>
      <c r="E1394" s="21"/>
      <c r="F1394" s="23" t="s">
        <v>69</v>
      </c>
      <c r="G1394" s="23" t="s">
        <v>69</v>
      </c>
    </row>
    <row r="1395" spans="1:7" x14ac:dyDescent="0.6">
      <c r="A1395" s="20" t="s">
        <v>204</v>
      </c>
      <c r="B1395" s="73">
        <v>11</v>
      </c>
      <c r="E1395" s="21"/>
      <c r="F1395" s="27" t="s">
        <v>63</v>
      </c>
    </row>
    <row r="1396" spans="1:7" x14ac:dyDescent="0.6">
      <c r="A1396" s="20" t="s">
        <v>204</v>
      </c>
      <c r="B1396" s="73">
        <v>11</v>
      </c>
      <c r="E1396" s="21"/>
      <c r="F1396" s="23" t="s">
        <v>69</v>
      </c>
      <c r="G1396" s="23" t="s">
        <v>69</v>
      </c>
    </row>
    <row r="1397" spans="1:7" x14ac:dyDescent="0.6">
      <c r="A1397" s="20" t="s">
        <v>204</v>
      </c>
      <c r="B1397" s="73">
        <v>11</v>
      </c>
      <c r="E1397" s="21"/>
      <c r="F1397" s="23" t="s">
        <v>69</v>
      </c>
      <c r="G1397" s="23" t="s">
        <v>69</v>
      </c>
    </row>
    <row r="1398" spans="1:7" x14ac:dyDescent="0.6">
      <c r="A1398" s="20" t="s">
        <v>205</v>
      </c>
      <c r="B1398" s="73">
        <v>11</v>
      </c>
      <c r="E1398" s="21"/>
      <c r="F1398" s="33" t="s">
        <v>68</v>
      </c>
    </row>
    <row r="1399" spans="1:7" x14ac:dyDescent="0.6">
      <c r="A1399" s="20" t="s">
        <v>205</v>
      </c>
      <c r="B1399" s="73">
        <v>11</v>
      </c>
      <c r="E1399" s="21"/>
      <c r="F1399" s="23" t="s">
        <v>58</v>
      </c>
      <c r="G1399" s="23" t="s">
        <v>67</v>
      </c>
    </row>
    <row r="1400" spans="1:7" x14ac:dyDescent="0.6">
      <c r="A1400" s="20" t="s">
        <v>205</v>
      </c>
      <c r="B1400" s="73">
        <v>11</v>
      </c>
      <c r="E1400" s="21"/>
      <c r="F1400" s="23" t="s">
        <v>69</v>
      </c>
      <c r="G1400" s="23" t="s">
        <v>69</v>
      </c>
    </row>
    <row r="1401" spans="1:7" x14ac:dyDescent="0.6">
      <c r="A1401" s="20" t="s">
        <v>206</v>
      </c>
      <c r="B1401" s="73">
        <v>11</v>
      </c>
      <c r="E1401" s="21"/>
      <c r="F1401" s="33" t="s">
        <v>68</v>
      </c>
    </row>
    <row r="1402" spans="1:7" x14ac:dyDescent="0.6">
      <c r="A1402" s="20" t="s">
        <v>206</v>
      </c>
      <c r="B1402" s="73">
        <v>11</v>
      </c>
      <c r="E1402" s="21"/>
      <c r="F1402" s="33" t="s">
        <v>68</v>
      </c>
    </row>
    <row r="1403" spans="1:7" x14ac:dyDescent="0.6">
      <c r="A1403" s="20" t="s">
        <v>206</v>
      </c>
      <c r="B1403" s="73">
        <v>11</v>
      </c>
      <c r="E1403" s="21"/>
      <c r="F1403" s="23" t="s">
        <v>69</v>
      </c>
      <c r="G1403" s="23" t="s">
        <v>69</v>
      </c>
    </row>
    <row r="1404" spans="1:7" x14ac:dyDescent="0.6">
      <c r="A1404" s="20" t="s">
        <v>206</v>
      </c>
      <c r="B1404" s="73">
        <v>11</v>
      </c>
      <c r="E1404" s="21"/>
      <c r="F1404" s="23" t="s">
        <v>69</v>
      </c>
      <c r="G1404" s="23" t="s">
        <v>69</v>
      </c>
    </row>
    <row r="1405" spans="1:7" x14ac:dyDescent="0.6">
      <c r="A1405" s="20" t="s">
        <v>206</v>
      </c>
      <c r="B1405" s="73">
        <v>11</v>
      </c>
      <c r="E1405" s="21"/>
      <c r="F1405" s="23" t="s">
        <v>69</v>
      </c>
      <c r="G1405" s="23" t="s">
        <v>69</v>
      </c>
    </row>
    <row r="1406" spans="1:7" x14ac:dyDescent="0.6">
      <c r="A1406" s="20" t="s">
        <v>207</v>
      </c>
      <c r="B1406" s="73">
        <v>11</v>
      </c>
      <c r="E1406" s="21"/>
      <c r="F1406" s="33" t="s">
        <v>68</v>
      </c>
    </row>
    <row r="1407" spans="1:7" x14ac:dyDescent="0.6">
      <c r="A1407" s="20" t="s">
        <v>207</v>
      </c>
      <c r="B1407" s="73">
        <v>11</v>
      </c>
      <c r="E1407" s="21"/>
      <c r="F1407" s="23" t="s">
        <v>69</v>
      </c>
      <c r="G1407" s="23" t="s">
        <v>69</v>
      </c>
    </row>
    <row r="1408" spans="1:7" x14ac:dyDescent="0.6">
      <c r="A1408" s="20" t="s">
        <v>207</v>
      </c>
      <c r="B1408" s="73">
        <v>11</v>
      </c>
      <c r="E1408" s="21"/>
      <c r="F1408" s="23" t="s">
        <v>69</v>
      </c>
      <c r="G1408" s="23" t="s">
        <v>69</v>
      </c>
    </row>
    <row r="1409" spans="1:7" x14ac:dyDescent="0.6">
      <c r="A1409" s="20" t="s">
        <v>207</v>
      </c>
      <c r="B1409" s="73">
        <v>11</v>
      </c>
      <c r="E1409" s="21"/>
      <c r="F1409" s="23" t="s">
        <v>69</v>
      </c>
      <c r="G1409" s="23" t="s">
        <v>69</v>
      </c>
    </row>
    <row r="1410" spans="1:7" x14ac:dyDescent="0.6">
      <c r="A1410" s="20" t="s">
        <v>207</v>
      </c>
      <c r="B1410" s="73">
        <v>11</v>
      </c>
      <c r="E1410" s="21"/>
      <c r="F1410" s="23" t="s">
        <v>69</v>
      </c>
      <c r="G1410" s="23" t="s">
        <v>69</v>
      </c>
    </row>
    <row r="1411" spans="1:7" x14ac:dyDescent="0.6">
      <c r="A1411" s="20" t="s">
        <v>207</v>
      </c>
      <c r="B1411" s="73">
        <v>11</v>
      </c>
      <c r="E1411" s="21"/>
      <c r="F1411" s="23" t="s">
        <v>69</v>
      </c>
      <c r="G1411" s="23" t="s">
        <v>69</v>
      </c>
    </row>
    <row r="1412" spans="1:7" x14ac:dyDescent="0.6">
      <c r="A1412" s="20" t="s">
        <v>207</v>
      </c>
      <c r="B1412" s="73">
        <v>11</v>
      </c>
      <c r="E1412" s="21"/>
      <c r="F1412" s="27" t="s">
        <v>63</v>
      </c>
    </row>
    <row r="1413" spans="1:7" x14ac:dyDescent="0.6">
      <c r="A1413" s="20" t="s">
        <v>207</v>
      </c>
      <c r="B1413" s="73">
        <v>11</v>
      </c>
      <c r="E1413" s="21"/>
      <c r="F1413" s="23" t="s">
        <v>69</v>
      </c>
      <c r="G1413" s="23" t="s">
        <v>69</v>
      </c>
    </row>
    <row r="1414" spans="1:7" x14ac:dyDescent="0.6">
      <c r="A1414" s="20" t="s">
        <v>207</v>
      </c>
      <c r="B1414" s="73">
        <v>11</v>
      </c>
      <c r="E1414" s="21"/>
      <c r="F1414" s="23" t="s">
        <v>69</v>
      </c>
      <c r="G1414" s="23" t="s">
        <v>69</v>
      </c>
    </row>
    <row r="1415" spans="1:7" x14ac:dyDescent="0.6">
      <c r="A1415" s="20" t="s">
        <v>208</v>
      </c>
      <c r="B1415" s="73">
        <v>11</v>
      </c>
      <c r="E1415" s="21"/>
      <c r="F1415" s="33" t="s">
        <v>64</v>
      </c>
    </row>
    <row r="1416" spans="1:7" x14ac:dyDescent="0.6">
      <c r="A1416" s="20" t="s">
        <v>208</v>
      </c>
      <c r="B1416" s="73">
        <v>11</v>
      </c>
      <c r="E1416" s="21"/>
      <c r="F1416" s="33" t="s">
        <v>68</v>
      </c>
    </row>
    <row r="1417" spans="1:7" x14ac:dyDescent="0.6">
      <c r="A1417" s="20" t="s">
        <v>208</v>
      </c>
      <c r="B1417" s="73">
        <v>11</v>
      </c>
      <c r="E1417" s="21"/>
      <c r="F1417" s="33" t="s">
        <v>68</v>
      </c>
    </row>
    <row r="1418" spans="1:7" x14ac:dyDescent="0.6">
      <c r="A1418" s="20" t="s">
        <v>208</v>
      </c>
      <c r="B1418" s="73">
        <v>11</v>
      </c>
      <c r="E1418" s="21"/>
      <c r="F1418" s="33" t="s">
        <v>68</v>
      </c>
    </row>
    <row r="1419" spans="1:7" x14ac:dyDescent="0.6">
      <c r="A1419" s="20" t="s">
        <v>208</v>
      </c>
      <c r="B1419" s="73">
        <v>11</v>
      </c>
      <c r="E1419" s="21"/>
      <c r="F1419" s="33" t="s">
        <v>68</v>
      </c>
    </row>
    <row r="1420" spans="1:7" x14ac:dyDescent="0.6">
      <c r="A1420" s="20" t="s">
        <v>208</v>
      </c>
      <c r="B1420" s="73">
        <v>11</v>
      </c>
      <c r="E1420" s="21"/>
      <c r="F1420" s="33" t="s">
        <v>68</v>
      </c>
    </row>
    <row r="1421" spans="1:7" x14ac:dyDescent="0.6">
      <c r="A1421" s="20" t="s">
        <v>208</v>
      </c>
      <c r="B1421" s="73">
        <v>11</v>
      </c>
      <c r="E1421" s="21"/>
      <c r="F1421" s="33" t="s">
        <v>64</v>
      </c>
    </row>
    <row r="1422" spans="1:7" x14ac:dyDescent="0.6">
      <c r="A1422" s="20" t="s">
        <v>208</v>
      </c>
      <c r="B1422" s="73">
        <v>11</v>
      </c>
      <c r="E1422" s="21"/>
      <c r="F1422" s="33" t="s">
        <v>64</v>
      </c>
    </row>
    <row r="1423" spans="1:7" x14ac:dyDescent="0.6">
      <c r="A1423" s="20" t="s">
        <v>208</v>
      </c>
      <c r="B1423" s="73">
        <v>11</v>
      </c>
      <c r="E1423" s="21"/>
      <c r="F1423" s="23" t="s">
        <v>60</v>
      </c>
      <c r="G1423" s="23" t="s">
        <v>67</v>
      </c>
    </row>
    <row r="1424" spans="1:7" x14ac:dyDescent="0.6">
      <c r="A1424" s="20" t="s">
        <v>208</v>
      </c>
      <c r="B1424" s="73">
        <v>11</v>
      </c>
      <c r="E1424" s="21"/>
      <c r="F1424" s="23" t="s">
        <v>60</v>
      </c>
      <c r="G1424" s="23" t="s">
        <v>61</v>
      </c>
    </row>
    <row r="1425" spans="1:7" x14ac:dyDescent="0.6">
      <c r="A1425" s="20" t="s">
        <v>208</v>
      </c>
      <c r="B1425" s="73">
        <v>11</v>
      </c>
      <c r="E1425" s="21"/>
      <c r="F1425" s="23" t="s">
        <v>65</v>
      </c>
    </row>
    <row r="1426" spans="1:7" x14ac:dyDescent="0.6">
      <c r="A1426" s="20" t="s">
        <v>208</v>
      </c>
      <c r="B1426" s="73">
        <v>11</v>
      </c>
      <c r="E1426" s="21"/>
      <c r="F1426" s="23" t="s">
        <v>65</v>
      </c>
    </row>
    <row r="1427" spans="1:7" x14ac:dyDescent="0.6">
      <c r="A1427" s="20" t="s">
        <v>208</v>
      </c>
      <c r="B1427" s="73">
        <v>11</v>
      </c>
      <c r="E1427" s="21"/>
      <c r="F1427" s="23" t="s">
        <v>58</v>
      </c>
      <c r="G1427" s="48" t="s">
        <v>76</v>
      </c>
    </row>
    <row r="1428" spans="1:7" x14ac:dyDescent="0.6">
      <c r="A1428" s="20" t="s">
        <v>208</v>
      </c>
      <c r="B1428" s="73">
        <v>11</v>
      </c>
      <c r="E1428" s="21"/>
      <c r="F1428" s="203" t="s">
        <v>58</v>
      </c>
      <c r="G1428" s="23" t="s">
        <v>59</v>
      </c>
    </row>
    <row r="1429" spans="1:7" x14ac:dyDescent="0.6">
      <c r="A1429" s="20" t="s">
        <v>208</v>
      </c>
      <c r="B1429" s="73">
        <v>11</v>
      </c>
      <c r="E1429" s="21"/>
      <c r="F1429" s="23" t="s">
        <v>58</v>
      </c>
      <c r="G1429" s="23" t="s">
        <v>67</v>
      </c>
    </row>
    <row r="1430" spans="1:7" x14ac:dyDescent="0.6">
      <c r="A1430" s="20" t="s">
        <v>208</v>
      </c>
      <c r="B1430" s="73">
        <v>11</v>
      </c>
      <c r="E1430" s="21"/>
      <c r="F1430" s="23" t="s">
        <v>69</v>
      </c>
      <c r="G1430" s="23" t="s">
        <v>69</v>
      </c>
    </row>
    <row r="1431" spans="1:7" x14ac:dyDescent="0.6">
      <c r="A1431" s="20" t="s">
        <v>208</v>
      </c>
      <c r="B1431" s="73">
        <v>11</v>
      </c>
      <c r="E1431" s="21"/>
      <c r="F1431" s="23" t="s">
        <v>65</v>
      </c>
    </row>
    <row r="1432" spans="1:7" x14ac:dyDescent="0.6">
      <c r="A1432" s="20" t="s">
        <v>208</v>
      </c>
      <c r="B1432" s="73">
        <v>11</v>
      </c>
      <c r="E1432" s="21"/>
      <c r="F1432" s="23" t="s">
        <v>65</v>
      </c>
    </row>
    <row r="1433" spans="1:7" x14ac:dyDescent="0.6">
      <c r="A1433" s="20" t="s">
        <v>208</v>
      </c>
      <c r="B1433" s="73">
        <v>11</v>
      </c>
      <c r="E1433" s="21"/>
      <c r="F1433" s="27" t="s">
        <v>63</v>
      </c>
    </row>
    <row r="1434" spans="1:7" x14ac:dyDescent="0.6">
      <c r="A1434" s="20" t="s">
        <v>208</v>
      </c>
      <c r="B1434" s="73">
        <v>11</v>
      </c>
      <c r="E1434" s="21"/>
      <c r="F1434" s="23" t="s">
        <v>65</v>
      </c>
    </row>
    <row r="1435" spans="1:7" x14ac:dyDescent="0.6">
      <c r="A1435" s="20" t="s">
        <v>209</v>
      </c>
      <c r="B1435" s="73">
        <v>11</v>
      </c>
      <c r="E1435" s="21"/>
      <c r="F1435" s="33" t="s">
        <v>68</v>
      </c>
    </row>
    <row r="1436" spans="1:7" x14ac:dyDescent="0.6">
      <c r="A1436" s="20" t="s">
        <v>209</v>
      </c>
      <c r="B1436" s="73">
        <v>11</v>
      </c>
      <c r="E1436" s="21"/>
      <c r="F1436" s="33" t="s">
        <v>68</v>
      </c>
    </row>
    <row r="1437" spans="1:7" x14ac:dyDescent="0.6">
      <c r="A1437" s="20" t="s">
        <v>209</v>
      </c>
      <c r="B1437" s="73">
        <v>11</v>
      </c>
      <c r="E1437" s="21"/>
      <c r="F1437" s="23" t="s">
        <v>69</v>
      </c>
      <c r="G1437" s="23" t="s">
        <v>69</v>
      </c>
    </row>
    <row r="1438" spans="1:7" x14ac:dyDescent="0.6">
      <c r="A1438" s="20" t="s">
        <v>209</v>
      </c>
      <c r="B1438" s="73">
        <v>11</v>
      </c>
      <c r="E1438" s="21"/>
      <c r="F1438" s="23" t="s">
        <v>69</v>
      </c>
      <c r="G1438" s="23" t="s">
        <v>69</v>
      </c>
    </row>
    <row r="1439" spans="1:7" x14ac:dyDescent="0.6">
      <c r="A1439" s="20" t="s">
        <v>209</v>
      </c>
      <c r="B1439" s="73">
        <v>11</v>
      </c>
      <c r="E1439" s="21"/>
      <c r="F1439" s="23" t="s">
        <v>69</v>
      </c>
      <c r="G1439" s="23" t="s">
        <v>69</v>
      </c>
    </row>
    <row r="1440" spans="1:7" x14ac:dyDescent="0.6">
      <c r="A1440" s="20" t="s">
        <v>209</v>
      </c>
      <c r="B1440" s="73">
        <v>11</v>
      </c>
      <c r="E1440" s="21"/>
      <c r="F1440" s="23" t="s">
        <v>69</v>
      </c>
      <c r="G1440" s="23" t="s">
        <v>69</v>
      </c>
    </row>
    <row r="1441" spans="1:7" x14ac:dyDescent="0.6">
      <c r="A1441" s="20" t="s">
        <v>209</v>
      </c>
      <c r="B1441" s="73">
        <v>11</v>
      </c>
      <c r="E1441" s="21"/>
      <c r="F1441" s="23" t="s">
        <v>69</v>
      </c>
      <c r="G1441" s="23" t="s">
        <v>69</v>
      </c>
    </row>
    <row r="1442" spans="1:7" x14ac:dyDescent="0.6">
      <c r="A1442" s="20" t="s">
        <v>209</v>
      </c>
      <c r="B1442" s="73">
        <v>11</v>
      </c>
      <c r="E1442" s="21"/>
      <c r="F1442" s="23" t="s">
        <v>69</v>
      </c>
      <c r="G1442" s="23" t="s">
        <v>69</v>
      </c>
    </row>
    <row r="1443" spans="1:7" x14ac:dyDescent="0.6">
      <c r="A1443" s="20" t="s">
        <v>209</v>
      </c>
      <c r="B1443" s="73">
        <v>11</v>
      </c>
      <c r="E1443" s="21"/>
      <c r="F1443" s="23" t="s">
        <v>58</v>
      </c>
      <c r="G1443" s="23" t="s">
        <v>67</v>
      </c>
    </row>
    <row r="1444" spans="1:7" x14ac:dyDescent="0.6">
      <c r="A1444" s="20" t="s">
        <v>210</v>
      </c>
      <c r="B1444" s="73">
        <v>11</v>
      </c>
      <c r="E1444" s="21"/>
      <c r="F1444" s="33" t="s">
        <v>68</v>
      </c>
    </row>
    <row r="1445" spans="1:7" x14ac:dyDescent="0.6">
      <c r="A1445" s="20" t="s">
        <v>210</v>
      </c>
      <c r="B1445" s="73">
        <v>11</v>
      </c>
      <c r="E1445" s="21"/>
      <c r="F1445" s="33" t="s">
        <v>68</v>
      </c>
    </row>
    <row r="1446" spans="1:7" x14ac:dyDescent="0.6">
      <c r="A1446" s="20" t="s">
        <v>210</v>
      </c>
      <c r="B1446" s="73">
        <v>11</v>
      </c>
      <c r="E1446" s="21"/>
      <c r="F1446" s="33" t="s">
        <v>68</v>
      </c>
    </row>
    <row r="1447" spans="1:7" x14ac:dyDescent="0.6">
      <c r="A1447" s="20" t="s">
        <v>210</v>
      </c>
      <c r="B1447" s="73">
        <v>11</v>
      </c>
      <c r="E1447" s="21"/>
      <c r="F1447" s="33" t="s">
        <v>64</v>
      </c>
    </row>
    <row r="1448" spans="1:7" x14ac:dyDescent="0.6">
      <c r="A1448" s="20" t="s">
        <v>210</v>
      </c>
      <c r="B1448" s="73">
        <v>11</v>
      </c>
      <c r="E1448" s="21"/>
      <c r="F1448" s="33" t="s">
        <v>64</v>
      </c>
    </row>
    <row r="1449" spans="1:7" x14ac:dyDescent="0.6">
      <c r="A1449" s="20" t="s">
        <v>210</v>
      </c>
      <c r="B1449" s="73">
        <v>11</v>
      </c>
      <c r="E1449" s="21"/>
      <c r="F1449" s="33" t="s">
        <v>64</v>
      </c>
    </row>
    <row r="1450" spans="1:7" x14ac:dyDescent="0.6">
      <c r="A1450" s="20" t="s">
        <v>210</v>
      </c>
      <c r="B1450" s="73">
        <v>11</v>
      </c>
      <c r="E1450" s="21"/>
      <c r="F1450" s="33" t="s">
        <v>68</v>
      </c>
    </row>
    <row r="1451" spans="1:7" x14ac:dyDescent="0.6">
      <c r="A1451" s="20" t="s">
        <v>210</v>
      </c>
      <c r="B1451" s="73">
        <v>11</v>
      </c>
      <c r="E1451" s="21"/>
      <c r="F1451" s="23" t="s">
        <v>69</v>
      </c>
      <c r="G1451" s="23" t="s">
        <v>69</v>
      </c>
    </row>
    <row r="1452" spans="1:7" x14ac:dyDescent="0.6">
      <c r="A1452" s="20" t="s">
        <v>211</v>
      </c>
      <c r="B1452" s="73">
        <v>11</v>
      </c>
      <c r="E1452" s="21"/>
      <c r="F1452" s="23" t="s">
        <v>58</v>
      </c>
      <c r="G1452" s="23" t="s">
        <v>44</v>
      </c>
    </row>
    <row r="1453" spans="1:7" x14ac:dyDescent="0.6">
      <c r="A1453" s="20" t="s">
        <v>212</v>
      </c>
      <c r="B1453" s="73">
        <v>11</v>
      </c>
      <c r="E1453" s="21"/>
      <c r="F1453" s="33" t="s">
        <v>68</v>
      </c>
    </row>
    <row r="1454" spans="1:7" x14ac:dyDescent="0.6">
      <c r="A1454" s="20" t="s">
        <v>212</v>
      </c>
      <c r="B1454" s="73">
        <v>11</v>
      </c>
      <c r="E1454" s="21"/>
      <c r="F1454" s="33" t="s">
        <v>68</v>
      </c>
    </row>
    <row r="1455" spans="1:7" x14ac:dyDescent="0.6">
      <c r="A1455" s="20" t="s">
        <v>212</v>
      </c>
      <c r="B1455" s="73">
        <v>11</v>
      </c>
      <c r="E1455" s="21"/>
      <c r="F1455" s="23" t="s">
        <v>60</v>
      </c>
      <c r="G1455" s="23" t="s">
        <v>67</v>
      </c>
    </row>
    <row r="1456" spans="1:7" x14ac:dyDescent="0.6">
      <c r="A1456" s="20" t="s">
        <v>212</v>
      </c>
      <c r="B1456" s="73">
        <v>11</v>
      </c>
      <c r="E1456" s="21"/>
      <c r="F1456" s="23" t="s">
        <v>69</v>
      </c>
      <c r="G1456" s="23" t="s">
        <v>69</v>
      </c>
    </row>
    <row r="1457" spans="1:7" x14ac:dyDescent="0.6">
      <c r="A1457" s="20" t="s">
        <v>212</v>
      </c>
      <c r="B1457" s="73">
        <v>11</v>
      </c>
      <c r="E1457" s="21"/>
      <c r="F1457" s="23" t="s">
        <v>66</v>
      </c>
    </row>
    <row r="1458" spans="1:7" x14ac:dyDescent="0.6">
      <c r="A1458" s="20" t="s">
        <v>212</v>
      </c>
      <c r="B1458" s="73">
        <v>11</v>
      </c>
      <c r="E1458" s="21"/>
      <c r="F1458" s="23" t="s">
        <v>58</v>
      </c>
      <c r="G1458" s="23" t="s">
        <v>59</v>
      </c>
    </row>
    <row r="1459" spans="1:7" x14ac:dyDescent="0.6">
      <c r="A1459" s="20" t="s">
        <v>212</v>
      </c>
      <c r="B1459" s="73">
        <v>11</v>
      </c>
      <c r="E1459" s="21"/>
      <c r="F1459" s="23" t="s">
        <v>69</v>
      </c>
      <c r="G1459" s="23" t="s">
        <v>69</v>
      </c>
    </row>
    <row r="1460" spans="1:7" x14ac:dyDescent="0.6">
      <c r="A1460" s="20" t="s">
        <v>212</v>
      </c>
      <c r="B1460" s="73">
        <v>11</v>
      </c>
      <c r="E1460" s="21"/>
      <c r="F1460" s="23" t="s">
        <v>69</v>
      </c>
      <c r="G1460" s="23" t="s">
        <v>69</v>
      </c>
    </row>
    <row r="1461" spans="1:7" x14ac:dyDescent="0.6">
      <c r="A1461" s="20" t="s">
        <v>212</v>
      </c>
      <c r="B1461" s="73">
        <v>11</v>
      </c>
      <c r="E1461" s="21"/>
      <c r="F1461" s="23" t="s">
        <v>69</v>
      </c>
      <c r="G1461" s="23" t="s">
        <v>69</v>
      </c>
    </row>
    <row r="1462" spans="1:7" x14ac:dyDescent="0.6">
      <c r="A1462" s="20" t="s">
        <v>212</v>
      </c>
      <c r="B1462" s="73">
        <v>11</v>
      </c>
      <c r="E1462" s="21"/>
      <c r="F1462" s="23" t="s">
        <v>58</v>
      </c>
      <c r="G1462" s="23" t="s">
        <v>67</v>
      </c>
    </row>
    <row r="1463" spans="1:7" x14ac:dyDescent="0.6">
      <c r="A1463" s="20" t="s">
        <v>212</v>
      </c>
      <c r="B1463" s="73">
        <v>11</v>
      </c>
      <c r="E1463" s="21"/>
      <c r="F1463" s="23" t="s">
        <v>65</v>
      </c>
    </row>
    <row r="1464" spans="1:7" x14ac:dyDescent="0.6">
      <c r="A1464" s="20" t="s">
        <v>213</v>
      </c>
      <c r="B1464" s="73">
        <v>11</v>
      </c>
      <c r="E1464" s="21"/>
      <c r="F1464" s="33" t="s">
        <v>68</v>
      </c>
    </row>
    <row r="1465" spans="1:7" x14ac:dyDescent="0.6">
      <c r="A1465" s="20" t="s">
        <v>213</v>
      </c>
      <c r="B1465" s="73">
        <v>11</v>
      </c>
      <c r="E1465" s="21"/>
      <c r="F1465" s="33" t="s">
        <v>68</v>
      </c>
    </row>
    <row r="1466" spans="1:7" x14ac:dyDescent="0.6">
      <c r="A1466" s="20" t="s">
        <v>213</v>
      </c>
      <c r="B1466" s="73">
        <v>11</v>
      </c>
      <c r="E1466" s="21"/>
      <c r="F1466" s="33" t="s">
        <v>68</v>
      </c>
    </row>
    <row r="1467" spans="1:7" x14ac:dyDescent="0.6">
      <c r="A1467" s="20" t="s">
        <v>213</v>
      </c>
      <c r="B1467" s="73">
        <v>11</v>
      </c>
      <c r="E1467" s="21"/>
      <c r="F1467" s="33" t="s">
        <v>68</v>
      </c>
    </row>
    <row r="1468" spans="1:7" x14ac:dyDescent="0.6">
      <c r="A1468" s="20" t="s">
        <v>213</v>
      </c>
      <c r="B1468" s="73">
        <v>11</v>
      </c>
      <c r="E1468" s="21"/>
      <c r="F1468" s="23" t="s">
        <v>58</v>
      </c>
      <c r="G1468" s="23" t="s">
        <v>59</v>
      </c>
    </row>
    <row r="1469" spans="1:7" x14ac:dyDescent="0.6">
      <c r="A1469" s="20" t="s">
        <v>213</v>
      </c>
      <c r="B1469" s="73">
        <v>11</v>
      </c>
      <c r="E1469" s="21"/>
      <c r="F1469" s="33" t="s">
        <v>68</v>
      </c>
    </row>
    <row r="1470" spans="1:7" x14ac:dyDescent="0.6">
      <c r="A1470" s="20" t="s">
        <v>214</v>
      </c>
      <c r="B1470" s="73">
        <v>11</v>
      </c>
      <c r="E1470" s="21"/>
      <c r="F1470" s="23" t="s">
        <v>69</v>
      </c>
      <c r="G1470" s="23" t="s">
        <v>69</v>
      </c>
    </row>
    <row r="1471" spans="1:7" x14ac:dyDescent="0.6">
      <c r="A1471" s="20" t="s">
        <v>215</v>
      </c>
      <c r="B1471" s="73">
        <v>11</v>
      </c>
      <c r="E1471" s="21"/>
      <c r="F1471" s="33" t="s">
        <v>68</v>
      </c>
    </row>
    <row r="1472" spans="1:7" x14ac:dyDescent="0.6">
      <c r="A1472" s="20" t="s">
        <v>215</v>
      </c>
      <c r="B1472" s="73">
        <v>11</v>
      </c>
      <c r="E1472" s="21"/>
      <c r="F1472" s="23" t="s">
        <v>216</v>
      </c>
    </row>
    <row r="1473" spans="1:7" x14ac:dyDescent="0.6">
      <c r="A1473" s="20" t="s">
        <v>215</v>
      </c>
      <c r="B1473" s="73">
        <v>11</v>
      </c>
      <c r="E1473" s="21"/>
      <c r="F1473" s="23" t="s">
        <v>69</v>
      </c>
      <c r="G1473" s="23" t="s">
        <v>69</v>
      </c>
    </row>
    <row r="1474" spans="1:7" x14ac:dyDescent="0.6">
      <c r="A1474" s="20" t="s">
        <v>215</v>
      </c>
      <c r="B1474" s="73">
        <v>11</v>
      </c>
      <c r="E1474" s="21"/>
      <c r="F1474" s="23" t="s">
        <v>69</v>
      </c>
      <c r="G1474" s="23" t="s">
        <v>69</v>
      </c>
    </row>
    <row r="1475" spans="1:7" x14ac:dyDescent="0.6">
      <c r="A1475" s="20" t="s">
        <v>215</v>
      </c>
      <c r="B1475" s="73">
        <v>11</v>
      </c>
      <c r="E1475" s="21"/>
      <c r="F1475" s="23" t="s">
        <v>217</v>
      </c>
    </row>
    <row r="1476" spans="1:7" x14ac:dyDescent="0.6">
      <c r="A1476" s="20" t="s">
        <v>215</v>
      </c>
      <c r="B1476" s="73">
        <v>11</v>
      </c>
      <c r="E1476" s="21"/>
      <c r="F1476" s="23" t="s">
        <v>217</v>
      </c>
    </row>
    <row r="1477" spans="1:7" x14ac:dyDescent="0.6">
      <c r="A1477" s="20" t="s">
        <v>218</v>
      </c>
      <c r="B1477" s="73">
        <v>11</v>
      </c>
      <c r="E1477" s="21"/>
      <c r="F1477" s="33" t="s">
        <v>68</v>
      </c>
    </row>
    <row r="1478" spans="1:7" x14ac:dyDescent="0.6">
      <c r="A1478" s="20" t="s">
        <v>218</v>
      </c>
      <c r="B1478" s="73">
        <v>11</v>
      </c>
      <c r="E1478" s="21"/>
      <c r="F1478" s="33" t="s">
        <v>68</v>
      </c>
    </row>
    <row r="1479" spans="1:7" x14ac:dyDescent="0.6">
      <c r="A1479" s="20" t="s">
        <v>219</v>
      </c>
      <c r="B1479" s="73">
        <v>11</v>
      </c>
      <c r="E1479" s="21"/>
      <c r="F1479" s="23" t="s">
        <v>69</v>
      </c>
      <c r="G1479" s="23" t="s">
        <v>69</v>
      </c>
    </row>
    <row r="1480" spans="1:7" x14ac:dyDescent="0.6">
      <c r="A1480" s="20" t="s">
        <v>219</v>
      </c>
      <c r="B1480" s="73">
        <v>11</v>
      </c>
      <c r="E1480" s="21"/>
      <c r="F1480" s="23" t="s">
        <v>58</v>
      </c>
      <c r="G1480" s="23" t="s">
        <v>59</v>
      </c>
    </row>
    <row r="1481" spans="1:7" x14ac:dyDescent="0.6">
      <c r="A1481" s="20" t="s">
        <v>219</v>
      </c>
      <c r="B1481" s="73">
        <v>11</v>
      </c>
      <c r="E1481" s="21"/>
      <c r="F1481" s="27" t="s">
        <v>63</v>
      </c>
    </row>
    <row r="1482" spans="1:7" x14ac:dyDescent="0.6">
      <c r="A1482" s="20" t="s">
        <v>220</v>
      </c>
      <c r="B1482" s="73">
        <v>11</v>
      </c>
      <c r="E1482" s="21"/>
      <c r="F1482" s="33" t="s">
        <v>68</v>
      </c>
    </row>
    <row r="1483" spans="1:7" x14ac:dyDescent="0.6">
      <c r="A1483" s="20" t="s">
        <v>220</v>
      </c>
      <c r="B1483" s="73">
        <v>11</v>
      </c>
      <c r="E1483" s="21"/>
      <c r="F1483" s="33" t="s">
        <v>68</v>
      </c>
    </row>
    <row r="1484" spans="1:7" x14ac:dyDescent="0.6">
      <c r="A1484" s="20" t="s">
        <v>221</v>
      </c>
      <c r="B1484" s="73">
        <v>11</v>
      </c>
      <c r="E1484" s="21"/>
      <c r="F1484" s="33" t="s">
        <v>68</v>
      </c>
    </row>
    <row r="1485" spans="1:7" x14ac:dyDescent="0.6">
      <c r="A1485" s="20" t="s">
        <v>221</v>
      </c>
      <c r="B1485" s="73">
        <v>11</v>
      </c>
      <c r="E1485" s="21"/>
      <c r="F1485" s="23" t="s">
        <v>65</v>
      </c>
    </row>
    <row r="1486" spans="1:7" x14ac:dyDescent="0.6">
      <c r="A1486" s="20" t="s">
        <v>221</v>
      </c>
      <c r="B1486" s="73">
        <v>11</v>
      </c>
      <c r="E1486" s="21"/>
      <c r="F1486" s="23" t="s">
        <v>60</v>
      </c>
      <c r="G1486" s="23" t="s">
        <v>67</v>
      </c>
    </row>
    <row r="1487" spans="1:7" x14ac:dyDescent="0.6">
      <c r="A1487" s="20" t="s">
        <v>221</v>
      </c>
      <c r="B1487" s="73">
        <v>11</v>
      </c>
      <c r="E1487" s="21"/>
      <c r="F1487" s="23" t="s">
        <v>60</v>
      </c>
      <c r="G1487" s="23" t="s">
        <v>70</v>
      </c>
    </row>
    <row r="1488" spans="1:7" x14ac:dyDescent="0.6">
      <c r="A1488" s="20" t="s">
        <v>221</v>
      </c>
      <c r="B1488" s="73">
        <v>11</v>
      </c>
      <c r="E1488" s="21"/>
      <c r="F1488" s="23" t="s">
        <v>60</v>
      </c>
      <c r="G1488" s="23" t="s">
        <v>70</v>
      </c>
    </row>
    <row r="1489" spans="1:7" x14ac:dyDescent="0.6">
      <c r="A1489" s="20" t="s">
        <v>221</v>
      </c>
      <c r="B1489" s="73">
        <v>11</v>
      </c>
      <c r="E1489" s="21"/>
      <c r="F1489" s="23" t="s">
        <v>60</v>
      </c>
      <c r="G1489" s="23" t="s">
        <v>61</v>
      </c>
    </row>
    <row r="1490" spans="1:7" x14ac:dyDescent="0.6">
      <c r="A1490" s="20" t="s">
        <v>221</v>
      </c>
      <c r="B1490" s="73">
        <v>11</v>
      </c>
      <c r="E1490" s="21"/>
      <c r="F1490" s="23" t="s">
        <v>60</v>
      </c>
      <c r="G1490" s="23" t="s">
        <v>70</v>
      </c>
    </row>
    <row r="1491" spans="1:7" x14ac:dyDescent="0.6">
      <c r="A1491" s="20" t="s">
        <v>221</v>
      </c>
      <c r="B1491" s="73">
        <v>11</v>
      </c>
      <c r="E1491" s="21"/>
      <c r="F1491" s="23" t="s">
        <v>60</v>
      </c>
      <c r="G1491" s="23" t="s">
        <v>70</v>
      </c>
    </row>
    <row r="1492" spans="1:7" x14ac:dyDescent="0.6">
      <c r="A1492" s="20" t="s">
        <v>221</v>
      </c>
      <c r="B1492" s="73">
        <v>11</v>
      </c>
      <c r="E1492" s="21"/>
      <c r="F1492" s="23" t="s">
        <v>69</v>
      </c>
      <c r="G1492" s="23" t="s">
        <v>69</v>
      </c>
    </row>
    <row r="1493" spans="1:7" x14ac:dyDescent="0.6">
      <c r="A1493" s="20" t="s">
        <v>221</v>
      </c>
      <c r="B1493" s="73">
        <v>11</v>
      </c>
      <c r="E1493" s="21"/>
      <c r="F1493" s="23" t="s">
        <v>60</v>
      </c>
      <c r="G1493" s="23" t="s">
        <v>61</v>
      </c>
    </row>
    <row r="1494" spans="1:7" x14ac:dyDescent="0.6">
      <c r="A1494" s="20" t="s">
        <v>221</v>
      </c>
      <c r="B1494" s="73">
        <v>11</v>
      </c>
      <c r="E1494" s="21"/>
      <c r="F1494" s="23" t="s">
        <v>60</v>
      </c>
      <c r="G1494" s="23" t="s">
        <v>77</v>
      </c>
    </row>
    <row r="1495" spans="1:7" x14ac:dyDescent="0.6">
      <c r="A1495" s="20" t="s">
        <v>221</v>
      </c>
      <c r="B1495" s="73">
        <v>11</v>
      </c>
      <c r="E1495" s="21"/>
      <c r="F1495" s="29" t="s">
        <v>37</v>
      </c>
    </row>
    <row r="1496" spans="1:7" x14ac:dyDescent="0.6">
      <c r="A1496" s="20" t="s">
        <v>221</v>
      </c>
      <c r="B1496" s="73">
        <v>11</v>
      </c>
      <c r="E1496" s="21"/>
      <c r="F1496" s="23" t="s">
        <v>58</v>
      </c>
      <c r="G1496" s="23" t="s">
        <v>59</v>
      </c>
    </row>
    <row r="1497" spans="1:7" x14ac:dyDescent="0.6">
      <c r="A1497" s="20" t="s">
        <v>221</v>
      </c>
      <c r="B1497" s="73">
        <v>11</v>
      </c>
      <c r="E1497" s="21"/>
      <c r="F1497" s="23" t="s">
        <v>65</v>
      </c>
    </row>
    <row r="1498" spans="1:7" x14ac:dyDescent="0.6">
      <c r="A1498" s="20" t="s">
        <v>222</v>
      </c>
      <c r="B1498" s="73">
        <v>11</v>
      </c>
      <c r="E1498" s="21"/>
      <c r="F1498" s="33" t="s">
        <v>68</v>
      </c>
    </row>
    <row r="1499" spans="1:7" x14ac:dyDescent="0.6">
      <c r="A1499" s="20" t="s">
        <v>222</v>
      </c>
      <c r="B1499" s="73">
        <v>11</v>
      </c>
      <c r="E1499" s="21"/>
      <c r="F1499" s="33" t="s">
        <v>68</v>
      </c>
    </row>
    <row r="1500" spans="1:7" x14ac:dyDescent="0.6">
      <c r="A1500" s="20" t="s">
        <v>222</v>
      </c>
      <c r="B1500" s="73">
        <v>11</v>
      </c>
      <c r="E1500" s="21"/>
      <c r="F1500" s="23" t="s">
        <v>69</v>
      </c>
      <c r="G1500" s="23" t="s">
        <v>69</v>
      </c>
    </row>
    <row r="1501" spans="1:7" x14ac:dyDescent="0.6">
      <c r="A1501" s="20" t="s">
        <v>223</v>
      </c>
      <c r="B1501" s="73">
        <v>11</v>
      </c>
      <c r="E1501" s="21"/>
      <c r="F1501" s="33" t="s">
        <v>68</v>
      </c>
    </row>
    <row r="1502" spans="1:7" x14ac:dyDescent="0.6">
      <c r="A1502" s="20" t="s">
        <v>223</v>
      </c>
      <c r="B1502" s="73">
        <v>11</v>
      </c>
      <c r="E1502" s="21"/>
      <c r="F1502" s="23" t="s">
        <v>69</v>
      </c>
      <c r="G1502" s="23" t="s">
        <v>69</v>
      </c>
    </row>
    <row r="1503" spans="1:7" x14ac:dyDescent="0.6">
      <c r="A1503" s="20" t="s">
        <v>223</v>
      </c>
      <c r="B1503" s="73">
        <v>11</v>
      </c>
      <c r="E1503" s="21"/>
      <c r="F1503" s="23" t="s">
        <v>69</v>
      </c>
      <c r="G1503" s="23" t="s">
        <v>69</v>
      </c>
    </row>
    <row r="1504" spans="1:7" x14ac:dyDescent="0.6">
      <c r="A1504" s="20" t="s">
        <v>223</v>
      </c>
      <c r="B1504" s="73">
        <v>11</v>
      </c>
      <c r="E1504" s="21"/>
      <c r="F1504" s="23" t="s">
        <v>60</v>
      </c>
      <c r="G1504" s="23" t="s">
        <v>67</v>
      </c>
    </row>
    <row r="1505" spans="1:7" x14ac:dyDescent="0.6">
      <c r="A1505" s="20" t="s">
        <v>224</v>
      </c>
      <c r="B1505" s="73">
        <v>11</v>
      </c>
      <c r="E1505" s="21"/>
      <c r="F1505" s="33" t="s">
        <v>68</v>
      </c>
    </row>
    <row r="1506" spans="1:7" x14ac:dyDescent="0.6">
      <c r="A1506" s="20" t="s">
        <v>224</v>
      </c>
      <c r="B1506" s="73">
        <v>11</v>
      </c>
      <c r="E1506" s="21"/>
      <c r="F1506" s="33" t="s">
        <v>68</v>
      </c>
    </row>
    <row r="1507" spans="1:7" x14ac:dyDescent="0.6">
      <c r="A1507" s="20" t="s">
        <v>224</v>
      </c>
      <c r="B1507" s="73">
        <v>11</v>
      </c>
      <c r="E1507" s="21"/>
      <c r="F1507" s="23" t="s">
        <v>60</v>
      </c>
      <c r="G1507" s="23" t="s">
        <v>73</v>
      </c>
    </row>
    <row r="1508" spans="1:7" x14ac:dyDescent="0.6">
      <c r="A1508" s="20" t="s">
        <v>224</v>
      </c>
      <c r="B1508" s="73">
        <v>11</v>
      </c>
      <c r="E1508" s="21"/>
      <c r="F1508" s="23" t="s">
        <v>60</v>
      </c>
      <c r="G1508" s="23" t="s">
        <v>73</v>
      </c>
    </row>
    <row r="1509" spans="1:7" x14ac:dyDescent="0.6">
      <c r="A1509" s="20" t="s">
        <v>224</v>
      </c>
      <c r="B1509" s="73">
        <v>11</v>
      </c>
      <c r="E1509" s="21"/>
      <c r="F1509" s="23" t="s">
        <v>60</v>
      </c>
      <c r="G1509" s="23" t="s">
        <v>61</v>
      </c>
    </row>
    <row r="1510" spans="1:7" x14ac:dyDescent="0.6">
      <c r="A1510" s="20" t="s">
        <v>224</v>
      </c>
      <c r="B1510" s="73">
        <v>11</v>
      </c>
      <c r="E1510" s="21"/>
      <c r="F1510" s="23" t="s">
        <v>66</v>
      </c>
    </row>
    <row r="1511" spans="1:7" x14ac:dyDescent="0.6">
      <c r="A1511" s="20" t="s">
        <v>224</v>
      </c>
      <c r="B1511" s="73">
        <v>11</v>
      </c>
      <c r="E1511" s="21"/>
      <c r="F1511" s="27" t="s">
        <v>63</v>
      </c>
    </row>
    <row r="1512" spans="1:7" x14ac:dyDescent="0.6">
      <c r="A1512" s="20" t="s">
        <v>224</v>
      </c>
      <c r="B1512" s="73">
        <v>11</v>
      </c>
      <c r="E1512" s="21"/>
      <c r="F1512" s="27" t="s">
        <v>63</v>
      </c>
    </row>
    <row r="1513" spans="1:7" x14ac:dyDescent="0.6">
      <c r="A1513" s="20" t="s">
        <v>224</v>
      </c>
      <c r="B1513" s="73">
        <v>11</v>
      </c>
      <c r="E1513" s="21"/>
      <c r="F1513" s="27" t="s">
        <v>63</v>
      </c>
    </row>
    <row r="1514" spans="1:7" x14ac:dyDescent="0.6">
      <c r="A1514" s="20" t="s">
        <v>224</v>
      </c>
      <c r="B1514" s="73">
        <v>11</v>
      </c>
      <c r="E1514" s="21"/>
      <c r="F1514" s="27" t="s">
        <v>63</v>
      </c>
    </row>
    <row r="1515" spans="1:7" x14ac:dyDescent="0.6">
      <c r="A1515" s="20" t="s">
        <v>224</v>
      </c>
      <c r="B1515" s="73">
        <v>11</v>
      </c>
      <c r="E1515" s="21"/>
      <c r="F1515" s="27" t="s">
        <v>63</v>
      </c>
    </row>
    <row r="1516" spans="1:7" x14ac:dyDescent="0.6">
      <c r="A1516" s="20" t="s">
        <v>224</v>
      </c>
      <c r="B1516" s="73">
        <v>11</v>
      </c>
      <c r="E1516" s="21"/>
      <c r="F1516" s="23" t="s">
        <v>65</v>
      </c>
    </row>
    <row r="1517" spans="1:7" x14ac:dyDescent="0.6">
      <c r="A1517" s="20" t="s">
        <v>224</v>
      </c>
      <c r="B1517" s="73">
        <v>11</v>
      </c>
      <c r="E1517" s="21"/>
      <c r="F1517" s="23" t="s">
        <v>60</v>
      </c>
      <c r="G1517" s="23" t="s">
        <v>67</v>
      </c>
    </row>
    <row r="1518" spans="1:7" x14ac:dyDescent="0.6">
      <c r="A1518" s="20" t="s">
        <v>224</v>
      </c>
      <c r="B1518" s="73">
        <v>11</v>
      </c>
      <c r="E1518" s="21"/>
      <c r="F1518" s="23" t="s">
        <v>58</v>
      </c>
      <c r="G1518" s="23" t="s">
        <v>44</v>
      </c>
    </row>
    <row r="1519" spans="1:7" x14ac:dyDescent="0.6">
      <c r="A1519" s="20" t="s">
        <v>224</v>
      </c>
      <c r="B1519" s="73">
        <v>11</v>
      </c>
      <c r="E1519" s="21"/>
      <c r="F1519" s="23" t="s">
        <v>60</v>
      </c>
      <c r="G1519" s="23" t="s">
        <v>67</v>
      </c>
    </row>
    <row r="1520" spans="1:7" x14ac:dyDescent="0.6">
      <c r="A1520" s="20" t="s">
        <v>224</v>
      </c>
      <c r="B1520" s="73">
        <v>11</v>
      </c>
      <c r="E1520" s="21"/>
      <c r="F1520" s="23" t="s">
        <v>60</v>
      </c>
      <c r="G1520" s="23" t="s">
        <v>61</v>
      </c>
    </row>
    <row r="1521" spans="1:7" x14ac:dyDescent="0.6">
      <c r="A1521" s="20" t="s">
        <v>224</v>
      </c>
      <c r="B1521" s="73">
        <v>11</v>
      </c>
      <c r="E1521" s="21"/>
      <c r="F1521" s="23" t="s">
        <v>58</v>
      </c>
      <c r="G1521" s="23" t="s">
        <v>72</v>
      </c>
    </row>
    <row r="1522" spans="1:7" x14ac:dyDescent="0.6">
      <c r="A1522" s="20" t="s">
        <v>224</v>
      </c>
      <c r="B1522" s="73">
        <v>11</v>
      </c>
      <c r="E1522" s="21"/>
      <c r="F1522" s="23" t="s">
        <v>60</v>
      </c>
      <c r="G1522" s="23" t="s">
        <v>67</v>
      </c>
    </row>
    <row r="1523" spans="1:7" x14ac:dyDescent="0.6">
      <c r="A1523" s="20" t="s">
        <v>224</v>
      </c>
      <c r="B1523" s="73">
        <v>11</v>
      </c>
      <c r="E1523" s="21"/>
      <c r="F1523" s="23" t="s">
        <v>60</v>
      </c>
      <c r="G1523" s="23" t="s">
        <v>67</v>
      </c>
    </row>
    <row r="1524" spans="1:7" x14ac:dyDescent="0.6">
      <c r="A1524" s="20" t="s">
        <v>224</v>
      </c>
      <c r="B1524" s="73">
        <v>11</v>
      </c>
      <c r="E1524" s="21"/>
      <c r="F1524" s="23" t="s">
        <v>60</v>
      </c>
      <c r="G1524" s="23" t="s">
        <v>61</v>
      </c>
    </row>
    <row r="1525" spans="1:7" x14ac:dyDescent="0.6">
      <c r="A1525" s="20" t="s">
        <v>224</v>
      </c>
      <c r="B1525" s="73">
        <v>11</v>
      </c>
      <c r="E1525" s="21"/>
      <c r="F1525" s="23" t="s">
        <v>58</v>
      </c>
      <c r="G1525" s="48" t="s">
        <v>76</v>
      </c>
    </row>
    <row r="1526" spans="1:7" x14ac:dyDescent="0.6">
      <c r="A1526" s="20" t="s">
        <v>224</v>
      </c>
      <c r="B1526" s="73">
        <v>11</v>
      </c>
      <c r="E1526" s="21"/>
      <c r="F1526" s="23" t="s">
        <v>58</v>
      </c>
      <c r="G1526" s="23" t="s">
        <v>59</v>
      </c>
    </row>
    <row r="1527" spans="1:7" x14ac:dyDescent="0.6">
      <c r="A1527" s="20" t="s">
        <v>224</v>
      </c>
      <c r="B1527" s="73">
        <v>11</v>
      </c>
      <c r="E1527" s="21"/>
      <c r="F1527" s="23" t="s">
        <v>58</v>
      </c>
      <c r="G1527" s="23" t="s">
        <v>44</v>
      </c>
    </row>
    <row r="1528" spans="1:7" x14ac:dyDescent="0.6">
      <c r="A1528" s="204" t="s">
        <v>225</v>
      </c>
      <c r="B1528" s="190">
        <v>12</v>
      </c>
      <c r="E1528" s="190"/>
      <c r="F1528" s="23" t="s">
        <v>58</v>
      </c>
      <c r="G1528" s="23" t="s">
        <v>59</v>
      </c>
    </row>
    <row r="1529" spans="1:7" x14ac:dyDescent="0.6">
      <c r="A1529" s="204" t="s">
        <v>225</v>
      </c>
      <c r="B1529" s="190">
        <v>12</v>
      </c>
      <c r="E1529" s="190"/>
      <c r="F1529" s="23" t="s">
        <v>69</v>
      </c>
      <c r="G1529" s="23" t="s">
        <v>69</v>
      </c>
    </row>
    <row r="1530" spans="1:7" x14ac:dyDescent="0.6">
      <c r="A1530" s="204" t="s">
        <v>225</v>
      </c>
      <c r="B1530" s="190">
        <v>12</v>
      </c>
      <c r="E1530" s="190"/>
      <c r="F1530" s="27" t="s">
        <v>63</v>
      </c>
    </row>
    <row r="1531" spans="1:7" x14ac:dyDescent="0.6">
      <c r="A1531" s="204" t="s">
        <v>225</v>
      </c>
      <c r="B1531" s="190">
        <v>12</v>
      </c>
      <c r="E1531" s="190"/>
      <c r="F1531" s="27" t="s">
        <v>63</v>
      </c>
    </row>
    <row r="1532" spans="1:7" x14ac:dyDescent="0.6">
      <c r="A1532" s="204" t="s">
        <v>226</v>
      </c>
      <c r="B1532" s="190">
        <v>12</v>
      </c>
      <c r="E1532" s="190"/>
      <c r="F1532" s="27" t="s">
        <v>63</v>
      </c>
    </row>
    <row r="1533" spans="1:7" x14ac:dyDescent="0.6">
      <c r="A1533" s="204" t="s">
        <v>226</v>
      </c>
      <c r="B1533" s="190">
        <v>12</v>
      </c>
      <c r="E1533" s="190"/>
      <c r="F1533" s="23" t="s">
        <v>60</v>
      </c>
      <c r="G1533" s="23" t="s">
        <v>61</v>
      </c>
    </row>
    <row r="1534" spans="1:7" x14ac:dyDescent="0.6">
      <c r="A1534" s="204" t="s">
        <v>227</v>
      </c>
      <c r="B1534" s="190">
        <v>12</v>
      </c>
      <c r="E1534" s="190"/>
      <c r="F1534" s="33" t="s">
        <v>68</v>
      </c>
    </row>
    <row r="1535" spans="1:7" x14ac:dyDescent="0.6">
      <c r="A1535" s="204" t="s">
        <v>227</v>
      </c>
      <c r="B1535" s="190">
        <v>12</v>
      </c>
      <c r="E1535" s="190"/>
      <c r="F1535" s="33" t="s">
        <v>68</v>
      </c>
    </row>
    <row r="1536" spans="1:7" x14ac:dyDescent="0.6">
      <c r="A1536" s="204" t="s">
        <v>227</v>
      </c>
      <c r="B1536" s="190">
        <v>12</v>
      </c>
      <c r="E1536" s="190"/>
      <c r="F1536" s="33" t="s">
        <v>68</v>
      </c>
    </row>
    <row r="1537" spans="1:7" x14ac:dyDescent="0.6">
      <c r="A1537" s="204" t="s">
        <v>227</v>
      </c>
      <c r="B1537" s="190">
        <v>12</v>
      </c>
      <c r="E1537" s="190"/>
      <c r="F1537" s="23" t="s">
        <v>69</v>
      </c>
      <c r="G1537" s="23" t="s">
        <v>69</v>
      </c>
    </row>
    <row r="1538" spans="1:7" x14ac:dyDescent="0.6">
      <c r="A1538" s="204" t="s">
        <v>227</v>
      </c>
      <c r="B1538" s="190">
        <v>12</v>
      </c>
      <c r="E1538" s="190"/>
      <c r="F1538" s="23" t="s">
        <v>69</v>
      </c>
      <c r="G1538" s="23" t="s">
        <v>69</v>
      </c>
    </row>
    <row r="1539" spans="1:7" x14ac:dyDescent="0.6">
      <c r="A1539" s="204" t="s">
        <v>227</v>
      </c>
      <c r="B1539" s="190">
        <v>12</v>
      </c>
      <c r="E1539" s="190"/>
      <c r="F1539" s="23" t="s">
        <v>69</v>
      </c>
      <c r="G1539" s="23" t="s">
        <v>69</v>
      </c>
    </row>
    <row r="1540" spans="1:7" x14ac:dyDescent="0.6">
      <c r="A1540" s="204" t="s">
        <v>228</v>
      </c>
      <c r="B1540" s="190">
        <v>12</v>
      </c>
      <c r="E1540" s="190"/>
      <c r="F1540" s="33" t="s">
        <v>64</v>
      </c>
    </row>
    <row r="1541" spans="1:7" x14ac:dyDescent="0.6">
      <c r="A1541" s="204" t="s">
        <v>228</v>
      </c>
      <c r="B1541" s="190">
        <v>12</v>
      </c>
      <c r="E1541" s="190"/>
      <c r="F1541" s="33" t="s">
        <v>68</v>
      </c>
    </row>
    <row r="1542" spans="1:7" x14ac:dyDescent="0.6">
      <c r="A1542" s="204" t="s">
        <v>228</v>
      </c>
      <c r="B1542" s="190">
        <v>12</v>
      </c>
      <c r="E1542" s="190"/>
      <c r="F1542" s="27" t="s">
        <v>63</v>
      </c>
    </row>
    <row r="1543" spans="1:7" x14ac:dyDescent="0.6">
      <c r="A1543" s="204" t="s">
        <v>228</v>
      </c>
      <c r="B1543" s="190">
        <v>12</v>
      </c>
      <c r="E1543" s="190"/>
      <c r="F1543" s="27" t="s">
        <v>63</v>
      </c>
    </row>
    <row r="1544" spans="1:7" x14ac:dyDescent="0.6">
      <c r="A1544" s="204" t="s">
        <v>229</v>
      </c>
      <c r="B1544" s="190">
        <v>12</v>
      </c>
      <c r="E1544" s="190"/>
      <c r="F1544" s="23" t="s">
        <v>69</v>
      </c>
      <c r="G1544" s="23" t="s">
        <v>69</v>
      </c>
    </row>
    <row r="1545" spans="1:7" x14ac:dyDescent="0.6">
      <c r="A1545" s="204" t="s">
        <v>229</v>
      </c>
      <c r="B1545" s="190">
        <v>12</v>
      </c>
      <c r="E1545" s="190"/>
      <c r="F1545" s="23" t="s">
        <v>69</v>
      </c>
      <c r="G1545" s="23" t="s">
        <v>69</v>
      </c>
    </row>
    <row r="1546" spans="1:7" x14ac:dyDescent="0.6">
      <c r="A1546" s="204" t="s">
        <v>229</v>
      </c>
      <c r="B1546" s="190">
        <v>12</v>
      </c>
      <c r="E1546" s="190"/>
      <c r="F1546" s="27" t="s">
        <v>63</v>
      </c>
    </row>
    <row r="1547" spans="1:7" x14ac:dyDescent="0.6">
      <c r="A1547" s="204" t="s">
        <v>229</v>
      </c>
      <c r="B1547" s="190">
        <v>12</v>
      </c>
      <c r="E1547" s="190"/>
      <c r="F1547" s="23" t="s">
        <v>65</v>
      </c>
    </row>
    <row r="1548" spans="1:7" x14ac:dyDescent="0.6">
      <c r="A1548" s="204" t="s">
        <v>230</v>
      </c>
      <c r="B1548" s="190">
        <v>12</v>
      </c>
      <c r="E1548" s="190"/>
      <c r="F1548" s="33" t="s">
        <v>68</v>
      </c>
    </row>
    <row r="1549" spans="1:7" x14ac:dyDescent="0.6">
      <c r="A1549" s="204" t="s">
        <v>230</v>
      </c>
      <c r="B1549" s="190">
        <v>12</v>
      </c>
      <c r="E1549" s="190"/>
      <c r="F1549" s="33" t="s">
        <v>68</v>
      </c>
    </row>
    <row r="1550" spans="1:7" x14ac:dyDescent="0.6">
      <c r="A1550" s="204" t="s">
        <v>230</v>
      </c>
      <c r="B1550" s="190">
        <v>12</v>
      </c>
      <c r="E1550" s="190"/>
      <c r="F1550" s="23" t="s">
        <v>60</v>
      </c>
      <c r="G1550" s="23" t="s">
        <v>67</v>
      </c>
    </row>
    <row r="1551" spans="1:7" x14ac:dyDescent="0.6">
      <c r="A1551" s="204" t="s">
        <v>230</v>
      </c>
      <c r="B1551" s="190">
        <v>12</v>
      </c>
      <c r="E1551" s="190"/>
      <c r="F1551" s="23" t="s">
        <v>60</v>
      </c>
      <c r="G1551" s="23" t="s">
        <v>61</v>
      </c>
    </row>
    <row r="1552" spans="1:7" x14ac:dyDescent="0.6">
      <c r="A1552" s="204" t="s">
        <v>230</v>
      </c>
      <c r="B1552" s="190">
        <v>12</v>
      </c>
      <c r="E1552" s="190"/>
      <c r="F1552" s="23" t="s">
        <v>58</v>
      </c>
      <c r="G1552" s="23" t="s">
        <v>59</v>
      </c>
    </row>
    <row r="1553" spans="1:7" x14ac:dyDescent="0.6">
      <c r="A1553" s="204" t="s">
        <v>230</v>
      </c>
      <c r="B1553" s="190">
        <v>12</v>
      </c>
      <c r="E1553" s="190"/>
      <c r="F1553" s="23" t="s">
        <v>58</v>
      </c>
      <c r="G1553" s="23" t="s">
        <v>59</v>
      </c>
    </row>
    <row r="1554" spans="1:7" x14ac:dyDescent="0.6">
      <c r="A1554" s="204" t="s">
        <v>230</v>
      </c>
      <c r="B1554" s="190">
        <v>12</v>
      </c>
      <c r="E1554" s="190"/>
      <c r="F1554" s="27" t="s">
        <v>63</v>
      </c>
    </row>
    <row r="1555" spans="1:7" x14ac:dyDescent="0.6">
      <c r="A1555" s="204" t="s">
        <v>230</v>
      </c>
      <c r="B1555" s="190">
        <v>12</v>
      </c>
      <c r="E1555" s="190"/>
      <c r="F1555" s="23" t="s">
        <v>65</v>
      </c>
    </row>
    <row r="1556" spans="1:7" x14ac:dyDescent="0.6">
      <c r="A1556" s="204" t="s">
        <v>230</v>
      </c>
      <c r="B1556" s="190">
        <v>12</v>
      </c>
      <c r="E1556" s="190"/>
      <c r="F1556" s="23" t="s">
        <v>65</v>
      </c>
    </row>
    <row r="1557" spans="1:7" x14ac:dyDescent="0.6">
      <c r="A1557" s="204" t="s">
        <v>230</v>
      </c>
      <c r="B1557" s="190">
        <v>12</v>
      </c>
      <c r="E1557" s="190"/>
      <c r="F1557" s="23" t="s">
        <v>58</v>
      </c>
      <c r="G1557" s="23" t="s">
        <v>59</v>
      </c>
    </row>
    <row r="1558" spans="1:7" x14ac:dyDescent="0.6">
      <c r="A1558" s="204" t="s">
        <v>230</v>
      </c>
      <c r="B1558" s="190">
        <v>12</v>
      </c>
      <c r="E1558" s="190"/>
      <c r="F1558" s="23" t="s">
        <v>58</v>
      </c>
      <c r="G1558" s="23" t="s">
        <v>67</v>
      </c>
    </row>
    <row r="1559" spans="1:7" x14ac:dyDescent="0.6">
      <c r="A1559" s="204" t="s">
        <v>230</v>
      </c>
      <c r="B1559" s="190">
        <v>12</v>
      </c>
      <c r="E1559" s="190"/>
      <c r="F1559" s="23" t="s">
        <v>58</v>
      </c>
      <c r="G1559" s="23" t="s">
        <v>67</v>
      </c>
    </row>
    <row r="1560" spans="1:7" x14ac:dyDescent="0.6">
      <c r="A1560" s="204" t="s">
        <v>230</v>
      </c>
      <c r="B1560" s="190">
        <v>12</v>
      </c>
      <c r="E1560" s="190"/>
      <c r="F1560" s="23" t="s">
        <v>65</v>
      </c>
    </row>
    <row r="1561" spans="1:7" x14ac:dyDescent="0.6">
      <c r="A1561" s="204" t="s">
        <v>230</v>
      </c>
      <c r="B1561" s="190">
        <v>12</v>
      </c>
      <c r="E1561" s="190"/>
      <c r="F1561" s="23" t="s">
        <v>65</v>
      </c>
    </row>
    <row r="1562" spans="1:7" x14ac:dyDescent="0.6">
      <c r="A1562" s="204" t="s">
        <v>230</v>
      </c>
      <c r="B1562" s="190">
        <v>12</v>
      </c>
      <c r="E1562" s="190"/>
      <c r="F1562" s="27" t="s">
        <v>63</v>
      </c>
    </row>
    <row r="1563" spans="1:7" x14ac:dyDescent="0.6">
      <c r="A1563" s="204" t="s">
        <v>230</v>
      </c>
      <c r="B1563" s="190">
        <v>12</v>
      </c>
      <c r="E1563" s="190"/>
      <c r="F1563" s="23" t="s">
        <v>65</v>
      </c>
    </row>
    <row r="1564" spans="1:7" x14ac:dyDescent="0.6">
      <c r="A1564" s="204" t="s">
        <v>231</v>
      </c>
      <c r="B1564" s="190">
        <v>12</v>
      </c>
      <c r="E1564" s="190"/>
      <c r="F1564" s="33" t="s">
        <v>68</v>
      </c>
    </row>
    <row r="1565" spans="1:7" x14ac:dyDescent="0.6">
      <c r="A1565" s="205" t="s">
        <v>232</v>
      </c>
      <c r="B1565" s="190">
        <v>12</v>
      </c>
      <c r="E1565" s="21"/>
      <c r="F1565" s="33" t="s">
        <v>64</v>
      </c>
    </row>
    <row r="1566" spans="1:7" x14ac:dyDescent="0.6">
      <c r="A1566" s="205" t="s">
        <v>232</v>
      </c>
      <c r="B1566" s="190">
        <v>12</v>
      </c>
      <c r="E1566" s="21"/>
      <c r="F1566" s="33" t="s">
        <v>64</v>
      </c>
    </row>
    <row r="1567" spans="1:7" x14ac:dyDescent="0.6">
      <c r="A1567" s="204" t="s">
        <v>233</v>
      </c>
      <c r="B1567" s="190">
        <v>12</v>
      </c>
      <c r="E1567" s="190"/>
      <c r="F1567" s="33" t="s">
        <v>68</v>
      </c>
    </row>
    <row r="1568" spans="1:7" x14ac:dyDescent="0.6">
      <c r="A1568" s="204" t="s">
        <v>233</v>
      </c>
      <c r="B1568" s="190">
        <v>12</v>
      </c>
      <c r="E1568" s="190"/>
      <c r="F1568" s="23" t="s">
        <v>69</v>
      </c>
      <c r="G1568" s="23" t="s">
        <v>69</v>
      </c>
    </row>
    <row r="1569" spans="1:7" x14ac:dyDescent="0.6">
      <c r="A1569" s="204" t="s">
        <v>234</v>
      </c>
      <c r="B1569" s="190">
        <v>12</v>
      </c>
      <c r="E1569" s="190"/>
      <c r="F1569" s="23" t="s">
        <v>69</v>
      </c>
      <c r="G1569" s="23" t="s">
        <v>69</v>
      </c>
    </row>
    <row r="1570" spans="1:7" x14ac:dyDescent="0.6">
      <c r="A1570" s="204" t="s">
        <v>234</v>
      </c>
      <c r="B1570" s="190">
        <v>12</v>
      </c>
      <c r="E1570" s="190"/>
      <c r="F1570" s="23" t="s">
        <v>58</v>
      </c>
      <c r="G1570" s="23" t="s">
        <v>67</v>
      </c>
    </row>
    <row r="1571" spans="1:7" x14ac:dyDescent="0.6">
      <c r="A1571" s="204" t="s">
        <v>234</v>
      </c>
      <c r="B1571" s="190">
        <v>12</v>
      </c>
      <c r="E1571" s="190"/>
      <c r="F1571" s="23" t="s">
        <v>69</v>
      </c>
      <c r="G1571" s="23" t="s">
        <v>69</v>
      </c>
    </row>
    <row r="1572" spans="1:7" x14ac:dyDescent="0.6">
      <c r="A1572" s="204" t="s">
        <v>234</v>
      </c>
      <c r="B1572" s="190">
        <v>12</v>
      </c>
      <c r="E1572" s="190"/>
      <c r="F1572" s="23" t="s">
        <v>69</v>
      </c>
      <c r="G1572" s="23" t="s">
        <v>69</v>
      </c>
    </row>
    <row r="1573" spans="1:7" x14ac:dyDescent="0.6">
      <c r="A1573" s="204" t="s">
        <v>234</v>
      </c>
      <c r="B1573" s="190">
        <v>12</v>
      </c>
      <c r="E1573" s="190"/>
      <c r="F1573" s="23" t="s">
        <v>69</v>
      </c>
      <c r="G1573" s="23" t="s">
        <v>69</v>
      </c>
    </row>
    <row r="1574" spans="1:7" x14ac:dyDescent="0.6">
      <c r="A1574" s="204" t="s">
        <v>234</v>
      </c>
      <c r="B1574" s="190">
        <v>12</v>
      </c>
      <c r="E1574" s="190"/>
      <c r="F1574" s="23" t="s">
        <v>58</v>
      </c>
      <c r="G1574" s="23" t="s">
        <v>59</v>
      </c>
    </row>
    <row r="1575" spans="1:7" x14ac:dyDescent="0.6">
      <c r="A1575" s="204" t="s">
        <v>234</v>
      </c>
      <c r="B1575" s="190">
        <v>12</v>
      </c>
      <c r="E1575" s="190"/>
      <c r="F1575" s="23" t="s">
        <v>60</v>
      </c>
      <c r="G1575" s="23" t="s">
        <v>67</v>
      </c>
    </row>
    <row r="1576" spans="1:7" x14ac:dyDescent="0.6">
      <c r="A1576" s="204" t="s">
        <v>235</v>
      </c>
      <c r="B1576" s="190">
        <v>12</v>
      </c>
      <c r="E1576" s="190"/>
      <c r="F1576" s="33" t="s">
        <v>68</v>
      </c>
    </row>
    <row r="1577" spans="1:7" x14ac:dyDescent="0.6">
      <c r="A1577" s="204" t="s">
        <v>235</v>
      </c>
      <c r="B1577" s="190">
        <v>12</v>
      </c>
      <c r="E1577" s="190"/>
      <c r="F1577" s="33" t="s">
        <v>68</v>
      </c>
    </row>
    <row r="1578" spans="1:7" x14ac:dyDescent="0.6">
      <c r="A1578" s="204" t="s">
        <v>235</v>
      </c>
      <c r="B1578" s="190">
        <v>12</v>
      </c>
      <c r="E1578" s="190"/>
      <c r="F1578" s="33" t="s">
        <v>68</v>
      </c>
    </row>
    <row r="1579" spans="1:7" x14ac:dyDescent="0.6">
      <c r="A1579" s="204" t="s">
        <v>235</v>
      </c>
      <c r="B1579" s="190">
        <v>12</v>
      </c>
      <c r="E1579" s="190"/>
      <c r="F1579" s="33" t="s">
        <v>64</v>
      </c>
    </row>
    <row r="1580" spans="1:7" x14ac:dyDescent="0.6">
      <c r="A1580" s="204" t="s">
        <v>235</v>
      </c>
      <c r="B1580" s="190">
        <v>12</v>
      </c>
      <c r="E1580" s="190"/>
      <c r="F1580" s="23" t="s">
        <v>69</v>
      </c>
      <c r="G1580" s="23" t="s">
        <v>69</v>
      </c>
    </row>
    <row r="1581" spans="1:7" x14ac:dyDescent="0.6">
      <c r="A1581" s="204" t="s">
        <v>236</v>
      </c>
      <c r="B1581" s="190">
        <v>12</v>
      </c>
      <c r="E1581" s="190"/>
      <c r="F1581" s="33" t="s">
        <v>68</v>
      </c>
    </row>
    <row r="1582" spans="1:7" x14ac:dyDescent="0.6">
      <c r="A1582" s="204" t="s">
        <v>236</v>
      </c>
      <c r="B1582" s="190">
        <v>12</v>
      </c>
      <c r="E1582" s="190"/>
      <c r="F1582" s="23" t="s">
        <v>58</v>
      </c>
      <c r="G1582" s="23" t="s">
        <v>67</v>
      </c>
    </row>
    <row r="1583" spans="1:7" x14ac:dyDescent="0.6">
      <c r="A1583" s="204" t="s">
        <v>236</v>
      </c>
      <c r="B1583" s="190">
        <v>12</v>
      </c>
      <c r="E1583" s="190"/>
      <c r="F1583" s="23" t="s">
        <v>69</v>
      </c>
      <c r="G1583" s="23" t="s">
        <v>69</v>
      </c>
    </row>
    <row r="1584" spans="1:7" x14ac:dyDescent="0.6">
      <c r="A1584" s="204" t="s">
        <v>236</v>
      </c>
      <c r="B1584" s="190">
        <v>12</v>
      </c>
      <c r="E1584" s="190"/>
      <c r="F1584" s="23" t="s">
        <v>69</v>
      </c>
      <c r="G1584" s="23" t="s">
        <v>69</v>
      </c>
    </row>
    <row r="1585" spans="1:7" x14ac:dyDescent="0.6">
      <c r="A1585" s="204" t="s">
        <v>236</v>
      </c>
      <c r="B1585" s="190">
        <v>12</v>
      </c>
      <c r="E1585" s="190"/>
      <c r="F1585" s="23" t="s">
        <v>69</v>
      </c>
      <c r="G1585" s="23" t="s">
        <v>69</v>
      </c>
    </row>
    <row r="1586" spans="1:7" x14ac:dyDescent="0.6">
      <c r="A1586" s="204" t="s">
        <v>236</v>
      </c>
      <c r="B1586" s="190">
        <v>12</v>
      </c>
      <c r="E1586" s="190"/>
      <c r="F1586" s="23" t="s">
        <v>69</v>
      </c>
      <c r="G1586" s="23" t="s">
        <v>69</v>
      </c>
    </row>
    <row r="1587" spans="1:7" x14ac:dyDescent="0.6">
      <c r="A1587" s="204" t="s">
        <v>236</v>
      </c>
      <c r="B1587" s="190">
        <v>12</v>
      </c>
      <c r="E1587" s="190"/>
      <c r="F1587" s="23" t="s">
        <v>58</v>
      </c>
      <c r="G1587" s="23" t="s">
        <v>67</v>
      </c>
    </row>
    <row r="1588" spans="1:7" x14ac:dyDescent="0.6">
      <c r="A1588" s="204" t="s">
        <v>236</v>
      </c>
      <c r="B1588" s="190">
        <v>12</v>
      </c>
      <c r="E1588" s="190"/>
      <c r="F1588" s="23" t="s">
        <v>58</v>
      </c>
      <c r="G1588" s="23" t="s">
        <v>44</v>
      </c>
    </row>
    <row r="1589" spans="1:7" x14ac:dyDescent="0.6">
      <c r="A1589" s="204" t="s">
        <v>236</v>
      </c>
      <c r="B1589" s="190">
        <v>12</v>
      </c>
      <c r="E1589" s="190"/>
      <c r="F1589" s="23" t="s">
        <v>58</v>
      </c>
      <c r="G1589" s="23" t="s">
        <v>44</v>
      </c>
    </row>
    <row r="1590" spans="1:7" x14ac:dyDescent="0.6">
      <c r="A1590" s="204" t="s">
        <v>236</v>
      </c>
      <c r="B1590" s="190">
        <v>12</v>
      </c>
      <c r="E1590" s="190"/>
      <c r="F1590" s="23" t="s">
        <v>69</v>
      </c>
      <c r="G1590" s="23" t="s">
        <v>69</v>
      </c>
    </row>
    <row r="1591" spans="1:7" x14ac:dyDescent="0.6">
      <c r="A1591" s="204" t="s">
        <v>237</v>
      </c>
      <c r="B1591" s="190">
        <v>12</v>
      </c>
      <c r="E1591" s="190"/>
      <c r="F1591" s="33" t="s">
        <v>68</v>
      </c>
    </row>
    <row r="1592" spans="1:7" x14ac:dyDescent="0.6">
      <c r="A1592" s="204" t="s">
        <v>237</v>
      </c>
      <c r="B1592" s="190">
        <v>12</v>
      </c>
      <c r="E1592" s="190"/>
      <c r="F1592" s="33" t="s">
        <v>68</v>
      </c>
    </row>
    <row r="1593" spans="1:7" x14ac:dyDescent="0.6">
      <c r="A1593" s="204" t="s">
        <v>237</v>
      </c>
      <c r="B1593" s="190">
        <v>12</v>
      </c>
      <c r="E1593" s="190"/>
      <c r="F1593" s="33" t="s">
        <v>68</v>
      </c>
    </row>
    <row r="1594" spans="1:7" x14ac:dyDescent="0.6">
      <c r="A1594" s="204" t="s">
        <v>237</v>
      </c>
      <c r="B1594" s="190">
        <v>12</v>
      </c>
      <c r="E1594" s="190"/>
      <c r="F1594" s="23" t="s">
        <v>69</v>
      </c>
      <c r="G1594" s="23" t="s">
        <v>69</v>
      </c>
    </row>
    <row r="1595" spans="1:7" x14ac:dyDescent="0.6">
      <c r="A1595" s="204" t="s">
        <v>237</v>
      </c>
      <c r="B1595" s="190">
        <v>12</v>
      </c>
      <c r="E1595" s="190"/>
      <c r="F1595" s="23" t="s">
        <v>69</v>
      </c>
      <c r="G1595" s="23" t="s">
        <v>69</v>
      </c>
    </row>
    <row r="1596" spans="1:7" x14ac:dyDescent="0.6">
      <c r="A1596" s="204" t="s">
        <v>237</v>
      </c>
      <c r="B1596" s="190">
        <v>12</v>
      </c>
      <c r="E1596" s="190"/>
      <c r="F1596" s="23" t="s">
        <v>58</v>
      </c>
      <c r="G1596" s="23" t="s">
        <v>67</v>
      </c>
    </row>
    <row r="1597" spans="1:7" x14ac:dyDescent="0.6">
      <c r="A1597" s="204" t="s">
        <v>237</v>
      </c>
      <c r="B1597" s="190">
        <v>12</v>
      </c>
      <c r="E1597" s="190"/>
      <c r="F1597" s="23" t="s">
        <v>60</v>
      </c>
      <c r="G1597" s="23" t="s">
        <v>73</v>
      </c>
    </row>
    <row r="1598" spans="1:7" x14ac:dyDescent="0.6">
      <c r="A1598" s="204" t="s">
        <v>237</v>
      </c>
      <c r="B1598" s="190">
        <v>12</v>
      </c>
      <c r="E1598" s="190"/>
      <c r="F1598" s="23" t="s">
        <v>69</v>
      </c>
      <c r="G1598" s="23" t="s">
        <v>69</v>
      </c>
    </row>
    <row r="1599" spans="1:7" x14ac:dyDescent="0.6">
      <c r="A1599" s="204" t="s">
        <v>238</v>
      </c>
      <c r="B1599" s="190">
        <v>12</v>
      </c>
      <c r="E1599" s="190"/>
      <c r="F1599" s="33" t="s">
        <v>64</v>
      </c>
    </row>
    <row r="1600" spans="1:7" x14ac:dyDescent="0.6">
      <c r="A1600" s="205" t="s">
        <v>238</v>
      </c>
      <c r="B1600" s="190">
        <v>12</v>
      </c>
      <c r="E1600" s="21"/>
      <c r="F1600" s="33" t="s">
        <v>64</v>
      </c>
    </row>
    <row r="1601" spans="1:7" x14ac:dyDescent="0.6">
      <c r="A1601" s="205" t="s">
        <v>238</v>
      </c>
      <c r="B1601" s="190">
        <v>12</v>
      </c>
      <c r="E1601" s="21"/>
      <c r="F1601" s="33" t="s">
        <v>64</v>
      </c>
    </row>
    <row r="1602" spans="1:7" x14ac:dyDescent="0.6">
      <c r="A1602" s="204" t="s">
        <v>239</v>
      </c>
      <c r="B1602" s="190">
        <v>12</v>
      </c>
      <c r="E1602" s="190"/>
      <c r="F1602" s="33" t="s">
        <v>68</v>
      </c>
    </row>
    <row r="1603" spans="1:7" x14ac:dyDescent="0.6">
      <c r="A1603" s="204" t="s">
        <v>239</v>
      </c>
      <c r="B1603" s="190">
        <v>12</v>
      </c>
      <c r="E1603" s="190"/>
      <c r="F1603" s="33" t="s">
        <v>68</v>
      </c>
    </row>
    <row r="1604" spans="1:7" x14ac:dyDescent="0.6">
      <c r="A1604" s="204" t="s">
        <v>239</v>
      </c>
      <c r="B1604" s="190">
        <v>12</v>
      </c>
      <c r="E1604" s="190"/>
      <c r="F1604" s="33" t="s">
        <v>68</v>
      </c>
    </row>
    <row r="1605" spans="1:7" x14ac:dyDescent="0.6">
      <c r="A1605" s="204" t="s">
        <v>239</v>
      </c>
      <c r="B1605" s="190">
        <v>12</v>
      </c>
      <c r="E1605" s="190"/>
      <c r="F1605" s="33" t="s">
        <v>64</v>
      </c>
    </row>
    <row r="1606" spans="1:7" x14ac:dyDescent="0.6">
      <c r="A1606" s="204" t="s">
        <v>239</v>
      </c>
      <c r="B1606" s="190">
        <v>12</v>
      </c>
      <c r="E1606" s="190"/>
      <c r="F1606" s="23" t="s">
        <v>69</v>
      </c>
      <c r="G1606" s="23" t="s">
        <v>69</v>
      </c>
    </row>
    <row r="1607" spans="1:7" x14ac:dyDescent="0.6">
      <c r="A1607" s="204" t="s">
        <v>239</v>
      </c>
      <c r="B1607" s="190">
        <v>12</v>
      </c>
      <c r="E1607" s="190"/>
      <c r="F1607" s="23" t="s">
        <v>69</v>
      </c>
      <c r="G1607" s="23" t="s">
        <v>69</v>
      </c>
    </row>
    <row r="1608" spans="1:7" x14ac:dyDescent="0.6">
      <c r="A1608" s="204" t="s">
        <v>239</v>
      </c>
      <c r="B1608" s="190">
        <v>12</v>
      </c>
      <c r="E1608" s="190"/>
      <c r="F1608" s="23" t="s">
        <v>69</v>
      </c>
      <c r="G1608" s="23" t="s">
        <v>69</v>
      </c>
    </row>
    <row r="1609" spans="1:7" x14ac:dyDescent="0.6">
      <c r="A1609" s="204" t="s">
        <v>239</v>
      </c>
      <c r="B1609" s="190">
        <v>12</v>
      </c>
      <c r="E1609" s="190"/>
      <c r="F1609" s="23" t="s">
        <v>69</v>
      </c>
      <c r="G1609" s="23" t="s">
        <v>69</v>
      </c>
    </row>
    <row r="1610" spans="1:7" x14ac:dyDescent="0.6">
      <c r="A1610" s="204" t="s">
        <v>240</v>
      </c>
      <c r="B1610" s="190">
        <v>12</v>
      </c>
      <c r="E1610" s="190"/>
      <c r="F1610" s="33" t="s">
        <v>68</v>
      </c>
    </row>
    <row r="1611" spans="1:7" x14ac:dyDescent="0.6">
      <c r="A1611" s="204" t="s">
        <v>240</v>
      </c>
      <c r="B1611" s="190">
        <v>12</v>
      </c>
      <c r="E1611" s="190"/>
      <c r="F1611" s="33" t="s">
        <v>68</v>
      </c>
    </row>
    <row r="1612" spans="1:7" x14ac:dyDescent="0.6">
      <c r="A1612" s="204" t="s">
        <v>240</v>
      </c>
      <c r="B1612" s="190">
        <v>12</v>
      </c>
      <c r="E1612" s="190"/>
      <c r="F1612" s="23" t="s">
        <v>58</v>
      </c>
      <c r="G1612" s="23" t="s">
        <v>44</v>
      </c>
    </row>
    <row r="1613" spans="1:7" x14ac:dyDescent="0.6">
      <c r="A1613" s="204" t="s">
        <v>240</v>
      </c>
      <c r="B1613" s="190">
        <v>12</v>
      </c>
      <c r="E1613" s="190"/>
      <c r="F1613" s="23" t="s">
        <v>58</v>
      </c>
      <c r="G1613" s="23" t="s">
        <v>59</v>
      </c>
    </row>
    <row r="1614" spans="1:7" x14ac:dyDescent="0.6">
      <c r="A1614" s="204" t="s">
        <v>240</v>
      </c>
      <c r="B1614" s="190">
        <v>12</v>
      </c>
      <c r="E1614" s="190"/>
      <c r="F1614" s="27" t="s">
        <v>63</v>
      </c>
    </row>
    <row r="1615" spans="1:7" x14ac:dyDescent="0.6">
      <c r="A1615" s="204" t="s">
        <v>240</v>
      </c>
      <c r="B1615" s="190">
        <v>12</v>
      </c>
      <c r="E1615" s="190"/>
      <c r="F1615" s="23" t="s">
        <v>69</v>
      </c>
      <c r="G1615" s="23" t="s">
        <v>69</v>
      </c>
    </row>
    <row r="1616" spans="1:7" x14ac:dyDescent="0.6">
      <c r="A1616" s="204" t="s">
        <v>240</v>
      </c>
      <c r="B1616" s="190">
        <v>12</v>
      </c>
      <c r="E1616" s="190"/>
      <c r="F1616" s="23" t="s">
        <v>69</v>
      </c>
      <c r="G1616" s="23" t="s">
        <v>69</v>
      </c>
    </row>
    <row r="1617" spans="1:7" x14ac:dyDescent="0.6">
      <c r="A1617" s="204" t="s">
        <v>241</v>
      </c>
      <c r="B1617" s="190">
        <v>12</v>
      </c>
      <c r="E1617" s="190"/>
      <c r="F1617" s="23" t="s">
        <v>69</v>
      </c>
      <c r="G1617" s="23" t="s">
        <v>69</v>
      </c>
    </row>
    <row r="1618" spans="1:7" x14ac:dyDescent="0.6">
      <c r="A1618" s="204" t="s">
        <v>241</v>
      </c>
      <c r="B1618" s="190">
        <v>12</v>
      </c>
      <c r="E1618" s="190"/>
      <c r="F1618" s="23" t="s">
        <v>69</v>
      </c>
      <c r="G1618" s="23" t="s">
        <v>69</v>
      </c>
    </row>
    <row r="1619" spans="1:7" x14ac:dyDescent="0.6">
      <c r="A1619" s="204" t="s">
        <v>241</v>
      </c>
      <c r="B1619" s="190">
        <v>12</v>
      </c>
      <c r="E1619" s="190"/>
      <c r="F1619" s="23" t="s">
        <v>69</v>
      </c>
      <c r="G1619" s="23" t="s">
        <v>69</v>
      </c>
    </row>
    <row r="1620" spans="1:7" x14ac:dyDescent="0.6">
      <c r="A1620" s="20" t="s">
        <v>242</v>
      </c>
      <c r="B1620" s="190">
        <v>12</v>
      </c>
      <c r="E1620" s="21"/>
      <c r="F1620" s="33" t="s">
        <v>68</v>
      </c>
    </row>
    <row r="1621" spans="1:7" x14ac:dyDescent="0.6">
      <c r="A1621" s="20" t="s">
        <v>242</v>
      </c>
      <c r="B1621" s="190">
        <v>12</v>
      </c>
      <c r="E1621" s="21"/>
      <c r="F1621" s="33" t="s">
        <v>68</v>
      </c>
    </row>
    <row r="1622" spans="1:7" x14ac:dyDescent="0.6">
      <c r="A1622" s="20" t="s">
        <v>242</v>
      </c>
      <c r="B1622" s="190">
        <v>12</v>
      </c>
      <c r="E1622" s="21"/>
      <c r="F1622" s="33" t="s">
        <v>68</v>
      </c>
    </row>
    <row r="1623" spans="1:7" x14ac:dyDescent="0.6">
      <c r="A1623" s="20" t="s">
        <v>242</v>
      </c>
      <c r="B1623" s="190">
        <v>12</v>
      </c>
      <c r="E1623" s="21"/>
      <c r="F1623" s="23" t="s">
        <v>65</v>
      </c>
    </row>
    <row r="1624" spans="1:7" x14ac:dyDescent="0.6">
      <c r="A1624" s="20" t="s">
        <v>242</v>
      </c>
      <c r="B1624" s="190">
        <v>12</v>
      </c>
      <c r="E1624" s="21"/>
      <c r="F1624" s="23" t="s">
        <v>69</v>
      </c>
      <c r="G1624" s="23" t="s">
        <v>69</v>
      </c>
    </row>
    <row r="1625" spans="1:7" x14ac:dyDescent="0.6">
      <c r="A1625" s="20" t="s">
        <v>242</v>
      </c>
      <c r="B1625" s="190">
        <v>12</v>
      </c>
      <c r="E1625" s="21"/>
      <c r="F1625" s="23" t="s">
        <v>60</v>
      </c>
      <c r="G1625" s="23" t="s">
        <v>61</v>
      </c>
    </row>
    <row r="1626" spans="1:7" x14ac:dyDescent="0.6">
      <c r="A1626" s="20" t="s">
        <v>242</v>
      </c>
      <c r="B1626" s="190">
        <v>12</v>
      </c>
      <c r="E1626" s="21"/>
      <c r="F1626" s="23" t="s">
        <v>60</v>
      </c>
      <c r="G1626" s="23" t="s">
        <v>77</v>
      </c>
    </row>
    <row r="1627" spans="1:7" x14ac:dyDescent="0.6">
      <c r="A1627" s="20" t="s">
        <v>242</v>
      </c>
      <c r="B1627" s="190">
        <v>12</v>
      </c>
      <c r="E1627" s="21"/>
      <c r="F1627" s="23" t="s">
        <v>69</v>
      </c>
      <c r="G1627" s="23" t="s">
        <v>69</v>
      </c>
    </row>
    <row r="1628" spans="1:7" x14ac:dyDescent="0.6">
      <c r="A1628" s="20" t="s">
        <v>242</v>
      </c>
      <c r="B1628" s="190">
        <v>12</v>
      </c>
      <c r="E1628" s="21"/>
      <c r="F1628" s="23" t="s">
        <v>65</v>
      </c>
    </row>
    <row r="1629" spans="1:7" x14ac:dyDescent="0.6">
      <c r="A1629" s="20" t="s">
        <v>243</v>
      </c>
      <c r="B1629" s="190">
        <v>12</v>
      </c>
      <c r="E1629" s="21"/>
      <c r="F1629" s="33" t="s">
        <v>68</v>
      </c>
    </row>
    <row r="1630" spans="1:7" x14ac:dyDescent="0.6">
      <c r="A1630" s="20" t="s">
        <v>243</v>
      </c>
      <c r="B1630" s="190">
        <v>12</v>
      </c>
      <c r="E1630" s="21"/>
      <c r="F1630" s="33" t="s">
        <v>68</v>
      </c>
    </row>
    <row r="1631" spans="1:7" x14ac:dyDescent="0.6">
      <c r="A1631" s="20" t="s">
        <v>243</v>
      </c>
      <c r="B1631" s="190">
        <v>12</v>
      </c>
      <c r="E1631" s="21"/>
      <c r="F1631" s="33" t="s">
        <v>68</v>
      </c>
    </row>
    <row r="1632" spans="1:7" x14ac:dyDescent="0.6">
      <c r="A1632" s="20" t="s">
        <v>243</v>
      </c>
      <c r="B1632" s="190">
        <v>12</v>
      </c>
      <c r="E1632" s="21"/>
      <c r="F1632" s="33" t="s">
        <v>68</v>
      </c>
    </row>
    <row r="1633" spans="1:7" x14ac:dyDescent="0.6">
      <c r="A1633" s="20" t="s">
        <v>243</v>
      </c>
      <c r="B1633" s="190">
        <v>12</v>
      </c>
      <c r="E1633" s="21"/>
      <c r="F1633" s="33" t="s">
        <v>68</v>
      </c>
    </row>
    <row r="1634" spans="1:7" x14ac:dyDescent="0.6">
      <c r="A1634" s="20" t="s">
        <v>243</v>
      </c>
      <c r="B1634" s="190">
        <v>12</v>
      </c>
      <c r="E1634" s="21"/>
      <c r="F1634" s="23" t="s">
        <v>60</v>
      </c>
      <c r="G1634" s="23" t="s">
        <v>67</v>
      </c>
    </row>
    <row r="1635" spans="1:7" x14ac:dyDescent="0.6">
      <c r="A1635" s="20" t="s">
        <v>243</v>
      </c>
      <c r="B1635" s="190">
        <v>12</v>
      </c>
      <c r="E1635" s="21"/>
      <c r="F1635" s="23" t="s">
        <v>60</v>
      </c>
      <c r="G1635" s="23" t="s">
        <v>67</v>
      </c>
    </row>
    <row r="1636" spans="1:7" x14ac:dyDescent="0.6">
      <c r="A1636" s="20" t="s">
        <v>243</v>
      </c>
      <c r="B1636" s="190">
        <v>12</v>
      </c>
      <c r="E1636" s="21"/>
      <c r="F1636" s="23" t="s">
        <v>60</v>
      </c>
      <c r="G1636" s="23" t="s">
        <v>70</v>
      </c>
    </row>
    <row r="1637" spans="1:7" x14ac:dyDescent="0.6">
      <c r="A1637" s="20" t="s">
        <v>243</v>
      </c>
      <c r="B1637" s="190">
        <v>12</v>
      </c>
      <c r="E1637" s="21"/>
      <c r="F1637" s="23" t="s">
        <v>60</v>
      </c>
      <c r="G1637" s="23" t="s">
        <v>70</v>
      </c>
    </row>
    <row r="1638" spans="1:7" x14ac:dyDescent="0.6">
      <c r="A1638" s="20" t="s">
        <v>243</v>
      </c>
      <c r="B1638" s="190">
        <v>12</v>
      </c>
      <c r="E1638" s="21"/>
      <c r="F1638" s="23" t="s">
        <v>60</v>
      </c>
      <c r="G1638" s="23" t="s">
        <v>61</v>
      </c>
    </row>
    <row r="1639" spans="1:7" x14ac:dyDescent="0.6">
      <c r="A1639" s="20" t="s">
        <v>243</v>
      </c>
      <c r="B1639" s="190">
        <v>12</v>
      </c>
      <c r="E1639" s="21"/>
      <c r="F1639" s="23" t="s">
        <v>60</v>
      </c>
      <c r="G1639" s="23" t="s">
        <v>70</v>
      </c>
    </row>
    <row r="1640" spans="1:7" x14ac:dyDescent="0.6">
      <c r="A1640" s="20" t="s">
        <v>243</v>
      </c>
      <c r="B1640" s="190">
        <v>12</v>
      </c>
      <c r="E1640" s="21"/>
      <c r="F1640" s="23" t="s">
        <v>60</v>
      </c>
      <c r="G1640" s="23" t="s">
        <v>70</v>
      </c>
    </row>
    <row r="1641" spans="1:7" x14ac:dyDescent="0.6">
      <c r="A1641" s="20" t="s">
        <v>243</v>
      </c>
      <c r="B1641" s="190">
        <v>12</v>
      </c>
      <c r="E1641" s="21"/>
      <c r="F1641" s="23" t="s">
        <v>69</v>
      </c>
      <c r="G1641" s="23" t="s">
        <v>69</v>
      </c>
    </row>
    <row r="1642" spans="1:7" x14ac:dyDescent="0.6">
      <c r="A1642" s="20" t="s">
        <v>243</v>
      </c>
      <c r="B1642" s="190">
        <v>12</v>
      </c>
      <c r="E1642" s="21"/>
      <c r="F1642" s="23" t="s">
        <v>69</v>
      </c>
      <c r="G1642" s="23" t="s">
        <v>69</v>
      </c>
    </row>
    <row r="1643" spans="1:7" x14ac:dyDescent="0.6">
      <c r="A1643" s="20" t="s">
        <v>243</v>
      </c>
      <c r="B1643" s="190">
        <v>12</v>
      </c>
      <c r="E1643" s="21"/>
      <c r="F1643" s="23" t="s">
        <v>58</v>
      </c>
      <c r="G1643" s="23" t="s">
        <v>59</v>
      </c>
    </row>
    <row r="1644" spans="1:7" x14ac:dyDescent="0.6">
      <c r="A1644" s="20" t="s">
        <v>244</v>
      </c>
      <c r="B1644" s="190">
        <v>12</v>
      </c>
      <c r="E1644" s="21"/>
      <c r="F1644" s="33" t="s">
        <v>68</v>
      </c>
    </row>
    <row r="1645" spans="1:7" x14ac:dyDescent="0.6">
      <c r="A1645" s="20" t="s">
        <v>244</v>
      </c>
      <c r="B1645" s="190">
        <v>12</v>
      </c>
      <c r="E1645" s="21"/>
      <c r="F1645" s="33" t="s">
        <v>68</v>
      </c>
    </row>
    <row r="1646" spans="1:7" x14ac:dyDescent="0.6">
      <c r="A1646" s="20" t="s">
        <v>244</v>
      </c>
      <c r="B1646" s="190">
        <v>12</v>
      </c>
      <c r="E1646" s="21"/>
      <c r="F1646" s="33" t="s">
        <v>68</v>
      </c>
    </row>
    <row r="1647" spans="1:7" x14ac:dyDescent="0.6">
      <c r="A1647" s="20" t="s">
        <v>244</v>
      </c>
      <c r="B1647" s="190">
        <v>12</v>
      </c>
      <c r="E1647" s="21"/>
      <c r="F1647" s="33" t="s">
        <v>68</v>
      </c>
    </row>
    <row r="1648" spans="1:7" x14ac:dyDescent="0.6">
      <c r="A1648" s="20" t="s">
        <v>244</v>
      </c>
      <c r="B1648" s="190">
        <v>12</v>
      </c>
      <c r="E1648" s="21"/>
      <c r="F1648" s="23" t="s">
        <v>69</v>
      </c>
      <c r="G1648" s="23" t="s">
        <v>69</v>
      </c>
    </row>
    <row r="1649" spans="1:7" x14ac:dyDescent="0.6">
      <c r="A1649" s="20" t="s">
        <v>244</v>
      </c>
      <c r="B1649" s="190">
        <v>12</v>
      </c>
      <c r="E1649" s="21"/>
      <c r="F1649" s="23" t="s">
        <v>69</v>
      </c>
      <c r="G1649" s="23" t="s">
        <v>69</v>
      </c>
    </row>
    <row r="1650" spans="1:7" x14ac:dyDescent="0.6">
      <c r="A1650" s="20" t="s">
        <v>244</v>
      </c>
      <c r="B1650" s="190">
        <v>12</v>
      </c>
      <c r="E1650" s="21"/>
      <c r="F1650" s="23" t="s">
        <v>69</v>
      </c>
      <c r="G1650" s="23" t="s">
        <v>69</v>
      </c>
    </row>
    <row r="1651" spans="1:7" x14ac:dyDescent="0.6">
      <c r="A1651" s="20" t="s">
        <v>244</v>
      </c>
      <c r="B1651" s="190">
        <v>12</v>
      </c>
      <c r="E1651" s="21"/>
      <c r="F1651" s="23" t="s">
        <v>69</v>
      </c>
      <c r="G1651" s="23" t="s">
        <v>69</v>
      </c>
    </row>
    <row r="1652" spans="1:7" x14ac:dyDescent="0.6">
      <c r="A1652" s="20" t="s">
        <v>244</v>
      </c>
      <c r="B1652" s="190">
        <v>12</v>
      </c>
      <c r="E1652" s="21"/>
      <c r="F1652" s="23" t="s">
        <v>69</v>
      </c>
      <c r="G1652" s="23" t="s">
        <v>69</v>
      </c>
    </row>
    <row r="1653" spans="1:7" x14ac:dyDescent="0.6">
      <c r="A1653" s="20" t="s">
        <v>244</v>
      </c>
      <c r="B1653" s="190">
        <v>12</v>
      </c>
      <c r="E1653" s="21"/>
      <c r="F1653" s="23" t="s">
        <v>69</v>
      </c>
      <c r="G1653" s="23" t="s">
        <v>69</v>
      </c>
    </row>
    <row r="1654" spans="1:7" x14ac:dyDescent="0.6">
      <c r="A1654" s="20" t="s">
        <v>244</v>
      </c>
      <c r="B1654" s="190">
        <v>12</v>
      </c>
      <c r="E1654" s="21"/>
      <c r="F1654" s="23" t="s">
        <v>69</v>
      </c>
      <c r="G1654" s="23" t="s">
        <v>69</v>
      </c>
    </row>
    <row r="1655" spans="1:7" x14ac:dyDescent="0.6">
      <c r="A1655" s="20" t="s">
        <v>244</v>
      </c>
      <c r="B1655" s="190">
        <v>12</v>
      </c>
      <c r="E1655" s="21"/>
      <c r="F1655" s="23" t="s">
        <v>69</v>
      </c>
      <c r="G1655" s="23" t="s">
        <v>69</v>
      </c>
    </row>
    <row r="1656" spans="1:7" x14ac:dyDescent="0.6">
      <c r="A1656" s="20" t="s">
        <v>245</v>
      </c>
      <c r="B1656" s="190">
        <v>12</v>
      </c>
      <c r="E1656" s="21"/>
      <c r="F1656" s="33" t="s">
        <v>68</v>
      </c>
    </row>
    <row r="1657" spans="1:7" x14ac:dyDescent="0.6">
      <c r="A1657" s="20" t="s">
        <v>245</v>
      </c>
      <c r="B1657" s="190">
        <v>12</v>
      </c>
      <c r="E1657" s="21"/>
      <c r="F1657" s="33" t="s">
        <v>68</v>
      </c>
    </row>
    <row r="1658" spans="1:7" x14ac:dyDescent="0.6">
      <c r="A1658" s="20" t="s">
        <v>245</v>
      </c>
      <c r="B1658" s="190">
        <v>12</v>
      </c>
      <c r="E1658" s="21"/>
      <c r="F1658" s="33" t="s">
        <v>68</v>
      </c>
    </row>
    <row r="1659" spans="1:7" x14ac:dyDescent="0.6">
      <c r="A1659" s="20" t="s">
        <v>245</v>
      </c>
      <c r="B1659" s="190">
        <v>12</v>
      </c>
      <c r="E1659" s="21"/>
      <c r="F1659" s="33" t="s">
        <v>68</v>
      </c>
    </row>
    <row r="1660" spans="1:7" x14ac:dyDescent="0.6">
      <c r="A1660" s="20" t="s">
        <v>245</v>
      </c>
      <c r="B1660" s="190">
        <v>12</v>
      </c>
      <c r="E1660" s="21"/>
      <c r="F1660" s="33" t="s">
        <v>68</v>
      </c>
    </row>
    <row r="1661" spans="1:7" x14ac:dyDescent="0.6">
      <c r="A1661" s="20" t="s">
        <v>245</v>
      </c>
      <c r="B1661" s="190">
        <v>12</v>
      </c>
      <c r="E1661" s="21"/>
      <c r="F1661" s="33" t="s">
        <v>68</v>
      </c>
    </row>
    <row r="1662" spans="1:7" x14ac:dyDescent="0.6">
      <c r="A1662" s="20" t="s">
        <v>245</v>
      </c>
      <c r="B1662" s="190">
        <v>12</v>
      </c>
      <c r="E1662" s="21"/>
      <c r="F1662" s="23" t="s">
        <v>69</v>
      </c>
      <c r="G1662" s="23" t="s">
        <v>69</v>
      </c>
    </row>
    <row r="1663" spans="1:7" x14ac:dyDescent="0.6">
      <c r="A1663" s="20" t="s">
        <v>245</v>
      </c>
      <c r="B1663" s="190">
        <v>12</v>
      </c>
      <c r="E1663" s="21"/>
      <c r="F1663" s="23" t="s">
        <v>69</v>
      </c>
      <c r="G1663" s="23" t="s">
        <v>69</v>
      </c>
    </row>
    <row r="1664" spans="1:7" x14ac:dyDescent="0.6">
      <c r="A1664" s="20" t="s">
        <v>245</v>
      </c>
      <c r="B1664" s="190">
        <v>12</v>
      </c>
      <c r="E1664" s="21"/>
      <c r="F1664" s="23" t="s">
        <v>69</v>
      </c>
      <c r="G1664" s="23" t="s">
        <v>69</v>
      </c>
    </row>
    <row r="1665" spans="1:7" x14ac:dyDescent="0.6">
      <c r="A1665" s="20" t="s">
        <v>245</v>
      </c>
      <c r="B1665" s="190">
        <v>12</v>
      </c>
      <c r="E1665" s="21"/>
      <c r="F1665" s="23" t="s">
        <v>60</v>
      </c>
      <c r="G1665" s="23" t="s">
        <v>61</v>
      </c>
    </row>
    <row r="1666" spans="1:7" x14ac:dyDescent="0.6">
      <c r="A1666" s="20" t="s">
        <v>246</v>
      </c>
      <c r="B1666" s="190">
        <v>12</v>
      </c>
      <c r="E1666" s="21"/>
      <c r="F1666" s="33" t="s">
        <v>68</v>
      </c>
    </row>
    <row r="1667" spans="1:7" x14ac:dyDescent="0.6">
      <c r="A1667" s="20" t="s">
        <v>246</v>
      </c>
      <c r="B1667" s="190">
        <v>12</v>
      </c>
      <c r="E1667" s="21"/>
      <c r="F1667" s="33" t="s">
        <v>68</v>
      </c>
    </row>
    <row r="1668" spans="1:7" x14ac:dyDescent="0.6">
      <c r="A1668" s="20" t="s">
        <v>246</v>
      </c>
      <c r="B1668" s="190">
        <v>12</v>
      </c>
      <c r="E1668" s="21"/>
      <c r="F1668" s="33" t="s">
        <v>68</v>
      </c>
    </row>
    <row r="1669" spans="1:7" x14ac:dyDescent="0.6">
      <c r="A1669" s="20" t="s">
        <v>246</v>
      </c>
      <c r="B1669" s="190">
        <v>12</v>
      </c>
      <c r="E1669" s="21"/>
      <c r="F1669" s="33" t="s">
        <v>68</v>
      </c>
    </row>
    <row r="1670" spans="1:7" x14ac:dyDescent="0.6">
      <c r="A1670" s="20" t="s">
        <v>246</v>
      </c>
      <c r="B1670" s="190">
        <v>12</v>
      </c>
      <c r="E1670" s="21"/>
      <c r="F1670" s="33" t="s">
        <v>68</v>
      </c>
    </row>
    <row r="1671" spans="1:7" x14ac:dyDescent="0.6">
      <c r="A1671" s="20" t="s">
        <v>246</v>
      </c>
      <c r="B1671" s="190">
        <v>12</v>
      </c>
      <c r="E1671" s="21"/>
      <c r="F1671" s="33" t="s">
        <v>68</v>
      </c>
    </row>
    <row r="1672" spans="1:7" x14ac:dyDescent="0.6">
      <c r="A1672" s="20" t="s">
        <v>246</v>
      </c>
      <c r="B1672" s="190">
        <v>12</v>
      </c>
      <c r="E1672" s="21"/>
      <c r="F1672" s="23" t="s">
        <v>60</v>
      </c>
      <c r="G1672" s="23" t="s">
        <v>73</v>
      </c>
    </row>
    <row r="1673" spans="1:7" x14ac:dyDescent="0.6">
      <c r="A1673" s="20" t="s">
        <v>246</v>
      </c>
      <c r="B1673" s="190">
        <v>12</v>
      </c>
      <c r="E1673" s="21"/>
      <c r="F1673" s="23" t="s">
        <v>60</v>
      </c>
      <c r="G1673" s="23" t="s">
        <v>73</v>
      </c>
    </row>
    <row r="1674" spans="1:7" x14ac:dyDescent="0.6">
      <c r="A1674" s="20" t="s">
        <v>246</v>
      </c>
      <c r="B1674" s="190">
        <v>12</v>
      </c>
      <c r="E1674" s="21"/>
      <c r="F1674" s="23" t="s">
        <v>69</v>
      </c>
      <c r="G1674" s="23" t="s">
        <v>69</v>
      </c>
    </row>
    <row r="1675" spans="1:7" x14ac:dyDescent="0.6">
      <c r="A1675" s="20" t="s">
        <v>246</v>
      </c>
      <c r="B1675" s="190">
        <v>12</v>
      </c>
      <c r="E1675" s="21"/>
      <c r="F1675" s="23" t="s">
        <v>69</v>
      </c>
      <c r="G1675" s="23" t="s">
        <v>69</v>
      </c>
    </row>
    <row r="1676" spans="1:7" x14ac:dyDescent="0.6">
      <c r="A1676" s="20" t="s">
        <v>246</v>
      </c>
      <c r="B1676" s="190">
        <v>12</v>
      </c>
      <c r="E1676" s="21"/>
      <c r="F1676" s="23" t="s">
        <v>65</v>
      </c>
    </row>
    <row r="1677" spans="1:7" x14ac:dyDescent="0.6">
      <c r="A1677" s="20" t="s">
        <v>246</v>
      </c>
      <c r="B1677" s="190">
        <v>12</v>
      </c>
      <c r="E1677" s="21"/>
      <c r="F1677" s="23" t="s">
        <v>58</v>
      </c>
      <c r="G1677" s="23" t="s">
        <v>59</v>
      </c>
    </row>
    <row r="1678" spans="1:7" x14ac:dyDescent="0.6">
      <c r="A1678" s="20" t="s">
        <v>246</v>
      </c>
      <c r="B1678" s="190">
        <v>12</v>
      </c>
      <c r="E1678" s="21"/>
      <c r="F1678" s="29" t="s">
        <v>37</v>
      </c>
    </row>
    <row r="1679" spans="1:7" x14ac:dyDescent="0.6">
      <c r="A1679" s="20" t="s">
        <v>246</v>
      </c>
      <c r="B1679" s="190">
        <v>12</v>
      </c>
      <c r="E1679" s="21"/>
      <c r="F1679" s="23" t="s">
        <v>60</v>
      </c>
      <c r="G1679" s="23" t="s">
        <v>67</v>
      </c>
    </row>
    <row r="1680" spans="1:7" x14ac:dyDescent="0.6">
      <c r="A1680" s="20" t="s">
        <v>246</v>
      </c>
      <c r="B1680" s="190">
        <v>12</v>
      </c>
      <c r="E1680" s="21"/>
      <c r="F1680" s="23" t="s">
        <v>58</v>
      </c>
      <c r="G1680" s="23" t="s">
        <v>44</v>
      </c>
    </row>
    <row r="1681" spans="1:7" x14ac:dyDescent="0.6">
      <c r="A1681" s="20" t="s">
        <v>246</v>
      </c>
      <c r="B1681" s="190">
        <v>12</v>
      </c>
      <c r="E1681" s="21"/>
      <c r="F1681" s="23" t="s">
        <v>60</v>
      </c>
      <c r="G1681" s="23" t="s">
        <v>67</v>
      </c>
    </row>
    <row r="1682" spans="1:7" x14ac:dyDescent="0.6">
      <c r="A1682" s="20" t="s">
        <v>246</v>
      </c>
      <c r="B1682" s="190">
        <v>12</v>
      </c>
      <c r="E1682" s="21"/>
      <c r="F1682" s="23" t="s">
        <v>60</v>
      </c>
      <c r="G1682" s="23" t="s">
        <v>61</v>
      </c>
    </row>
    <row r="1683" spans="1:7" x14ac:dyDescent="0.6">
      <c r="A1683" s="20" t="s">
        <v>246</v>
      </c>
      <c r="B1683" s="190">
        <v>12</v>
      </c>
      <c r="E1683" s="21"/>
      <c r="F1683" s="23" t="s">
        <v>58</v>
      </c>
      <c r="G1683" s="23" t="s">
        <v>72</v>
      </c>
    </row>
    <row r="1684" spans="1:7" x14ac:dyDescent="0.6">
      <c r="A1684" s="20" t="s">
        <v>246</v>
      </c>
      <c r="B1684" s="190">
        <v>12</v>
      </c>
      <c r="E1684" s="21"/>
      <c r="F1684" s="23" t="s">
        <v>60</v>
      </c>
      <c r="G1684" s="23" t="s">
        <v>67</v>
      </c>
    </row>
    <row r="1685" spans="1:7" x14ac:dyDescent="0.6">
      <c r="A1685" s="20" t="s">
        <v>246</v>
      </c>
      <c r="B1685" s="190">
        <v>12</v>
      </c>
      <c r="E1685" s="21"/>
      <c r="F1685" s="23" t="s">
        <v>60</v>
      </c>
      <c r="G1685" s="23" t="s">
        <v>67</v>
      </c>
    </row>
    <row r="1686" spans="1:7" x14ac:dyDescent="0.6">
      <c r="A1686" s="20" t="s">
        <v>246</v>
      </c>
      <c r="B1686" s="190">
        <v>12</v>
      </c>
      <c r="E1686" s="21"/>
      <c r="F1686" s="23" t="s">
        <v>58</v>
      </c>
      <c r="G1686" s="23" t="s">
        <v>75</v>
      </c>
    </row>
    <row r="1687" spans="1:7" x14ac:dyDescent="0.6">
      <c r="A1687" s="20" t="s">
        <v>246</v>
      </c>
      <c r="B1687" s="190">
        <v>12</v>
      </c>
      <c r="E1687" s="21"/>
      <c r="F1687" s="23" t="s">
        <v>66</v>
      </c>
    </row>
    <row r="1688" spans="1:7" x14ac:dyDescent="0.6">
      <c r="A1688" s="20" t="s">
        <v>246</v>
      </c>
      <c r="B1688" s="190">
        <v>12</v>
      </c>
      <c r="E1688" s="21"/>
      <c r="F1688" s="23" t="s">
        <v>66</v>
      </c>
    </row>
    <row r="1689" spans="1:7" x14ac:dyDescent="0.6">
      <c r="A1689" s="20" t="s">
        <v>246</v>
      </c>
      <c r="B1689" s="190">
        <v>12</v>
      </c>
      <c r="E1689" s="21"/>
      <c r="F1689" s="27" t="s">
        <v>63</v>
      </c>
    </row>
    <row r="1690" spans="1:7" x14ac:dyDescent="0.6">
      <c r="A1690" s="20" t="s">
        <v>246</v>
      </c>
      <c r="B1690" s="190">
        <v>12</v>
      </c>
      <c r="E1690" s="21"/>
      <c r="F1690" s="27" t="s">
        <v>63</v>
      </c>
    </row>
    <row r="1691" spans="1:7" x14ac:dyDescent="0.6">
      <c r="A1691" s="20" t="s">
        <v>246</v>
      </c>
      <c r="B1691" s="190">
        <v>12</v>
      </c>
      <c r="E1691" s="21"/>
      <c r="F1691" s="27" t="s">
        <v>63</v>
      </c>
    </row>
    <row r="1692" spans="1:7" x14ac:dyDescent="0.6">
      <c r="A1692" s="20" t="s">
        <v>246</v>
      </c>
      <c r="B1692" s="190">
        <v>12</v>
      </c>
      <c r="E1692" s="21"/>
      <c r="F1692" s="27" t="s">
        <v>63</v>
      </c>
    </row>
    <row r="1693" spans="1:7" x14ac:dyDescent="0.6">
      <c r="A1693" s="20" t="s">
        <v>246</v>
      </c>
      <c r="B1693" s="190">
        <v>12</v>
      </c>
      <c r="E1693" s="21"/>
      <c r="F1693" s="27" t="s">
        <v>63</v>
      </c>
    </row>
    <row r="1694" spans="1:7" x14ac:dyDescent="0.6">
      <c r="E1694" s="21"/>
    </row>
    <row r="1695" spans="1:7" x14ac:dyDescent="0.6">
      <c r="E1695" s="21"/>
    </row>
    <row r="1696" spans="1:7" x14ac:dyDescent="0.6">
      <c r="E1696" s="21"/>
    </row>
    <row r="1697" spans="3:5" x14ac:dyDescent="0.6">
      <c r="E1697" s="21"/>
    </row>
    <row r="1698" spans="3:5" x14ac:dyDescent="0.6">
      <c r="E1698" s="21"/>
    </row>
    <row r="1699" spans="3:5" x14ac:dyDescent="0.6">
      <c r="E1699" s="21"/>
    </row>
    <row r="1700" spans="3:5" x14ac:dyDescent="0.6">
      <c r="D1700" s="22">
        <f ca="1">SUBTOTAL(9,D2:D1700)</f>
        <v>0</v>
      </c>
      <c r="E1700" s="21"/>
    </row>
    <row r="1701" spans="3:5" x14ac:dyDescent="0.6">
      <c r="C1701" s="22">
        <f>SUBTOTAL(9,C2:C1700)</f>
        <v>1180147712</v>
      </c>
      <c r="E1701" s="21"/>
    </row>
    <row r="1702" spans="3:5" x14ac:dyDescent="0.6">
      <c r="E1702" s="21"/>
    </row>
    <row r="1703" spans="3:5" x14ac:dyDescent="0.6">
      <c r="E1703" s="21"/>
    </row>
    <row r="1704" spans="3:5" x14ac:dyDescent="0.6">
      <c r="E1704" s="21"/>
    </row>
    <row r="1705" spans="3:5" x14ac:dyDescent="0.6">
      <c r="E1705" s="21"/>
    </row>
    <row r="1706" spans="3:5" x14ac:dyDescent="0.6">
      <c r="E1706" s="21"/>
    </row>
    <row r="1707" spans="3:5" x14ac:dyDescent="0.6">
      <c r="E1707" s="21"/>
    </row>
    <row r="1708" spans="3:5" x14ac:dyDescent="0.6">
      <c r="E1708" s="21"/>
    </row>
    <row r="1709" spans="3:5" x14ac:dyDescent="0.6">
      <c r="E1709" s="21"/>
    </row>
    <row r="1710" spans="3:5" x14ac:dyDescent="0.6">
      <c r="E1710" s="21"/>
    </row>
    <row r="1870" spans="4:4" x14ac:dyDescent="0.6">
      <c r="D1870" s="22">
        <f>SUBTOTAL(9,D2:D1381)</f>
        <v>282869545</v>
      </c>
    </row>
    <row r="2035" spans="4:4" x14ac:dyDescent="0.6">
      <c r="D2035" s="22">
        <f ca="1">SUBTOTAL(9,D2:D1993)</f>
        <v>546018200</v>
      </c>
    </row>
    <row r="2069" spans="3:4" x14ac:dyDescent="0.6">
      <c r="C2069" s="22">
        <f>SUBTOTAL(9,C2:C960)</f>
        <v>1180147712</v>
      </c>
      <c r="D2069" s="22">
        <f>SUBTOTAL(9,D2:D1124)</f>
        <v>282869545</v>
      </c>
    </row>
    <row r="2073" spans="3:4" x14ac:dyDescent="0.6">
      <c r="D2073" s="22">
        <f>SUBTOTAL(9,D2:D960)</f>
        <v>282869545</v>
      </c>
    </row>
    <row r="2084" spans="2:5" x14ac:dyDescent="0.6">
      <c r="B2084" s="21">
        <v>2849880957</v>
      </c>
      <c r="C2084" s="22">
        <v>6697812955</v>
      </c>
      <c r="D2084" s="22">
        <v>3854808578</v>
      </c>
      <c r="E2084" s="20">
        <v>5692885334</v>
      </c>
    </row>
    <row r="2085" spans="2:5" x14ac:dyDescent="0.6">
      <c r="B2085" s="21">
        <v>2850146427</v>
      </c>
      <c r="C2085" s="22">
        <f>SUBTOTAL(9,C649:C863)</f>
        <v>51798104</v>
      </c>
      <c r="D2085" s="22">
        <f>SUBTOTAL(9,D649:D863)</f>
        <v>24322107</v>
      </c>
      <c r="E2085" s="206">
        <f>B2085+C2085-D2085</f>
        <v>2877622424</v>
      </c>
    </row>
    <row r="2086" spans="2:5" x14ac:dyDescent="0.6">
      <c r="B2086" s="21">
        <f>B2084-B2085</f>
        <v>-265470</v>
      </c>
      <c r="C2086" s="207">
        <f>C2084-C2085</f>
        <v>6646014851</v>
      </c>
      <c r="D2086" s="207">
        <f>D2084-D2085</f>
        <v>3830486471</v>
      </c>
      <c r="E2086" s="21">
        <f>E2084-E2085</f>
        <v>2815262910</v>
      </c>
    </row>
    <row r="2188" spans="4:4" x14ac:dyDescent="0.6">
      <c r="D2188" s="22">
        <f ca="1">SUBTOTAL(9,D2:D2186)</f>
        <v>8249635356</v>
      </c>
    </row>
  </sheetData>
  <autoFilter ref="A2:H1693" xr:uid="{00000000-0009-0000-0000-000001000000}"/>
  <phoneticPr fontId="2" type="noConversion"/>
  <pageMargins left="0.69999998807907104" right="0.69999998807907104" top="0.75" bottom="0.75" header="0.30000001192092896" footer="0.30000001192092896"/>
  <pageSetup paperSize="9" fitToWidth="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DB74C-43BF-474A-A6A9-BDD81DA47ECB}">
  <sheetPr codeName="Sheet3">
    <tabColor theme="3" tint="0.89999084444715716"/>
  </sheetPr>
  <dimension ref="A1:R49"/>
  <sheetViews>
    <sheetView zoomScaleNormal="80" workbookViewId="0">
      <selection activeCell="D8" sqref="D8"/>
    </sheetView>
  </sheetViews>
  <sheetFormatPr defaultColWidth="9" defaultRowHeight="15.75" x14ac:dyDescent="0.6"/>
  <cols>
    <col min="1" max="1" width="12.5625" style="208" customWidth="1"/>
    <col min="2" max="2" width="10.5625" style="208" customWidth="1"/>
    <col min="3" max="3" width="0.1875" style="208" customWidth="1"/>
    <col min="4" max="4" width="15.5625" style="18" customWidth="1"/>
    <col min="5" max="6" width="13.1875" style="18" customWidth="1"/>
    <col min="7" max="7" width="15.3125" style="18" customWidth="1"/>
    <col min="8" max="8" width="15.8125" style="18" customWidth="1"/>
    <col min="9" max="9" width="15.5" style="18" customWidth="1"/>
    <col min="10" max="15" width="14.5" style="18" customWidth="1"/>
    <col min="16" max="16" width="0.8125" style="18" customWidth="1"/>
    <col min="17" max="17" width="15.1875" style="208" bestFit="1" customWidth="1"/>
    <col min="18" max="18" width="14" style="208" bestFit="1" customWidth="1"/>
    <col min="19" max="16384" width="9" style="208"/>
  </cols>
  <sheetData>
    <row r="1" spans="1:18" ht="19.5" customHeight="1" thickBot="1" x14ac:dyDescent="0.65">
      <c r="A1" s="301" t="s">
        <v>1126</v>
      </c>
      <c r="B1" s="209" t="s">
        <v>18</v>
      </c>
      <c r="C1" s="210" t="s">
        <v>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4" t="s">
        <v>13</v>
      </c>
    </row>
    <row r="2" spans="1:18" ht="19.5" customHeight="1" x14ac:dyDescent="0.6">
      <c r="A2" s="320" t="s">
        <v>248</v>
      </c>
      <c r="B2" s="211" t="s">
        <v>0</v>
      </c>
      <c r="C2" s="212"/>
      <c r="D2" s="213"/>
      <c r="E2" s="213"/>
      <c r="F2" s="313"/>
      <c r="G2" s="213"/>
      <c r="H2" s="213"/>
      <c r="I2" s="213"/>
      <c r="J2" s="213"/>
      <c r="K2" s="213"/>
      <c r="L2" s="213"/>
      <c r="M2" s="213"/>
      <c r="N2" s="213"/>
      <c r="O2" s="213"/>
      <c r="P2" s="214"/>
    </row>
    <row r="3" spans="1:18" ht="19.5" customHeight="1" x14ac:dyDescent="0.6">
      <c r="A3" s="320"/>
      <c r="B3" s="215" t="s">
        <v>249</v>
      </c>
      <c r="C3" s="216">
        <v>336820</v>
      </c>
      <c r="D3" s="217">
        <v>20629008</v>
      </c>
      <c r="E3" s="217">
        <v>38216712</v>
      </c>
      <c r="F3" s="217">
        <v>38216712</v>
      </c>
      <c r="G3" s="217">
        <v>26854426</v>
      </c>
      <c r="H3" s="217">
        <v>33164891</v>
      </c>
      <c r="I3" s="217">
        <v>35347789</v>
      </c>
      <c r="J3" s="217">
        <v>14539390</v>
      </c>
      <c r="K3" s="217">
        <v>27909273</v>
      </c>
      <c r="L3" s="217">
        <v>30399716</v>
      </c>
      <c r="M3" s="217">
        <v>30418085</v>
      </c>
      <c r="N3" s="217">
        <v>18793800</v>
      </c>
      <c r="O3" s="218">
        <v>8295541</v>
      </c>
      <c r="P3" s="214"/>
    </row>
    <row r="4" spans="1:18" ht="19.5" customHeight="1" x14ac:dyDescent="0.6">
      <c r="A4" s="320"/>
      <c r="B4" s="215" t="s">
        <v>250</v>
      </c>
      <c r="C4" s="219">
        <f>7364589</f>
        <v>7364589</v>
      </c>
      <c r="D4" s="220"/>
      <c r="E4" s="220"/>
      <c r="F4" s="314"/>
      <c r="G4" s="220"/>
      <c r="H4" s="220"/>
      <c r="I4" s="220"/>
      <c r="J4" s="220"/>
      <c r="K4" s="221"/>
      <c r="L4" s="221"/>
      <c r="M4" s="221"/>
      <c r="N4" s="221"/>
      <c r="O4" s="222"/>
    </row>
    <row r="5" spans="1:18" ht="19.5" customHeight="1" x14ac:dyDescent="0.6">
      <c r="A5" s="320"/>
      <c r="B5" s="223" t="s">
        <v>251</v>
      </c>
      <c r="C5" s="224">
        <v>6103921033</v>
      </c>
      <c r="D5" s="225"/>
      <c r="E5" s="225"/>
      <c r="F5" s="225"/>
      <c r="G5" s="225"/>
      <c r="H5" s="225"/>
      <c r="I5" s="225"/>
      <c r="J5" s="225"/>
      <c r="K5" s="226"/>
      <c r="L5" s="226"/>
      <c r="M5" s="226"/>
      <c r="N5" s="226"/>
      <c r="O5" s="227"/>
      <c r="Q5" s="228"/>
      <c r="R5" s="229"/>
    </row>
    <row r="6" spans="1:18" ht="19.5" customHeight="1" x14ac:dyDescent="0.6">
      <c r="A6" s="321"/>
      <c r="B6" s="230" t="s">
        <v>252</v>
      </c>
      <c r="C6" s="219"/>
      <c r="D6" s="220"/>
      <c r="E6" s="220"/>
      <c r="F6" s="220"/>
      <c r="G6" s="220"/>
      <c r="H6" s="220"/>
      <c r="I6" s="220"/>
      <c r="J6" s="220"/>
      <c r="K6" s="221"/>
      <c r="L6" s="221"/>
      <c r="M6" s="221"/>
      <c r="N6" s="221"/>
      <c r="O6" s="222"/>
      <c r="Q6" s="228"/>
    </row>
    <row r="7" spans="1:18" ht="19.5" customHeight="1" x14ac:dyDescent="0.6">
      <c r="A7" s="322" t="s">
        <v>253</v>
      </c>
      <c r="B7" s="323"/>
      <c r="C7" s="231">
        <f>SUM(C2:C6)</f>
        <v>6111622442</v>
      </c>
      <c r="D7" s="232">
        <f>SUM(D2:D6)</f>
        <v>20629008</v>
      </c>
      <c r="E7" s="232">
        <f t="shared" ref="E7:N7" si="0">SUM(E2:E6)</f>
        <v>38216712</v>
      </c>
      <c r="F7" s="232">
        <f t="shared" si="0"/>
        <v>38216712</v>
      </c>
      <c r="G7" s="232">
        <f t="shared" si="0"/>
        <v>26854426</v>
      </c>
      <c r="H7" s="232">
        <f t="shared" si="0"/>
        <v>33164891</v>
      </c>
      <c r="I7" s="232">
        <f t="shared" si="0"/>
        <v>35347789</v>
      </c>
      <c r="J7" s="232">
        <f>SUM(J2:J6)</f>
        <v>14539390</v>
      </c>
      <c r="K7" s="232">
        <f t="shared" si="0"/>
        <v>27909273</v>
      </c>
      <c r="L7" s="232">
        <f t="shared" si="0"/>
        <v>30399716</v>
      </c>
      <c r="M7" s="232">
        <f t="shared" si="0"/>
        <v>30418085</v>
      </c>
      <c r="N7" s="232">
        <f t="shared" si="0"/>
        <v>18793800</v>
      </c>
      <c r="O7" s="233">
        <f>SUM(O2:O6)</f>
        <v>8295541</v>
      </c>
      <c r="P7" s="234"/>
      <c r="Q7" s="228"/>
    </row>
    <row r="8" spans="1:18" ht="18.75" customHeight="1" x14ac:dyDescent="0.6">
      <c r="A8" s="324" t="s">
        <v>254</v>
      </c>
      <c r="B8" s="235" t="s">
        <v>73</v>
      </c>
      <c r="C8" s="236">
        <v>3000000</v>
      </c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2"/>
      <c r="P8" s="237">
        <f t="shared" ref="P8:P16" si="1">SUM(C8:O8)</f>
        <v>3000000</v>
      </c>
      <c r="Q8" s="228"/>
    </row>
    <row r="9" spans="1:18" ht="18.75" customHeight="1" x14ac:dyDescent="0.6">
      <c r="A9" s="320"/>
      <c r="B9" s="235" t="s">
        <v>65</v>
      </c>
      <c r="C9" s="236">
        <v>171338147</v>
      </c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2"/>
      <c r="P9" s="237">
        <f t="shared" si="1"/>
        <v>171338147</v>
      </c>
      <c r="Q9" s="228"/>
    </row>
    <row r="10" spans="1:18" ht="18.75" customHeight="1" x14ac:dyDescent="0.6">
      <c r="A10" s="320"/>
      <c r="B10" s="235" t="s">
        <v>81</v>
      </c>
      <c r="C10" s="236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2"/>
      <c r="P10" s="237">
        <f t="shared" si="1"/>
        <v>0</v>
      </c>
      <c r="Q10" s="228"/>
    </row>
    <row r="11" spans="1:18" ht="18.75" customHeight="1" x14ac:dyDescent="0.6">
      <c r="A11" s="320"/>
      <c r="B11" s="238" t="s">
        <v>37</v>
      </c>
      <c r="C11" s="236">
        <v>395100</v>
      </c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2"/>
      <c r="P11" s="237">
        <f t="shared" si="1"/>
        <v>395100</v>
      </c>
      <c r="Q11" s="228"/>
    </row>
    <row r="12" spans="1:18" ht="18.75" customHeight="1" x14ac:dyDescent="0.6">
      <c r="A12" s="320"/>
      <c r="B12" s="239" t="s">
        <v>67</v>
      </c>
      <c r="C12" s="240">
        <v>2195670</v>
      </c>
      <c r="D12" s="220"/>
      <c r="E12" s="220"/>
      <c r="F12" s="220"/>
      <c r="G12" s="221"/>
      <c r="H12" s="220"/>
      <c r="I12" s="220"/>
      <c r="J12" s="221"/>
      <c r="K12" s="221"/>
      <c r="L12" s="221"/>
      <c r="M12" s="221"/>
      <c r="N12" s="221"/>
      <c r="O12" s="241"/>
      <c r="P12" s="237">
        <f t="shared" si="1"/>
        <v>2195670</v>
      </c>
      <c r="Q12" s="228"/>
    </row>
    <row r="13" spans="1:18" ht="18.75" customHeight="1" x14ac:dyDescent="0.6">
      <c r="A13" s="320"/>
      <c r="B13" s="239" t="s">
        <v>247</v>
      </c>
      <c r="C13" s="240">
        <v>254749</v>
      </c>
      <c r="D13" s="220">
        <v>13323036</v>
      </c>
      <c r="E13" s="220">
        <v>16383079</v>
      </c>
      <c r="F13" s="220">
        <v>7157861</v>
      </c>
      <c r="G13" s="221">
        <v>23548837</v>
      </c>
      <c r="H13" s="220">
        <v>12360557</v>
      </c>
      <c r="I13" s="220">
        <v>21420277</v>
      </c>
      <c r="J13" s="221">
        <v>10224749</v>
      </c>
      <c r="K13" s="221">
        <v>22433207</v>
      </c>
      <c r="L13" s="221">
        <v>21464508</v>
      </c>
      <c r="M13" s="221">
        <v>23562212</v>
      </c>
      <c r="N13" s="221">
        <v>5638925</v>
      </c>
      <c r="O13" s="241">
        <v>13836716</v>
      </c>
      <c r="P13" s="237">
        <f t="shared" si="1"/>
        <v>191608713</v>
      </c>
      <c r="Q13" s="228"/>
    </row>
    <row r="14" spans="1:18" ht="18.75" customHeight="1" x14ac:dyDescent="0.6">
      <c r="A14" s="320"/>
      <c r="B14" s="239" t="s">
        <v>61</v>
      </c>
      <c r="C14" s="240">
        <v>11614627</v>
      </c>
      <c r="D14" s="220"/>
      <c r="E14" s="220"/>
      <c r="F14" s="220"/>
      <c r="G14" s="221"/>
      <c r="H14" s="220"/>
      <c r="I14" s="220"/>
      <c r="J14" s="221"/>
      <c r="K14" s="221"/>
      <c r="L14" s="221"/>
      <c r="M14" s="221"/>
      <c r="N14" s="221"/>
      <c r="O14" s="241"/>
      <c r="P14" s="237">
        <f t="shared" si="1"/>
        <v>11614627</v>
      </c>
      <c r="Q14" s="228"/>
    </row>
    <row r="15" spans="1:18" ht="18.75" customHeight="1" x14ac:dyDescent="0.6">
      <c r="A15" s="320"/>
      <c r="B15" s="242" t="s">
        <v>77</v>
      </c>
      <c r="C15" s="240"/>
      <c r="D15" s="220"/>
      <c r="E15" s="220"/>
      <c r="F15" s="220"/>
      <c r="G15" s="221"/>
      <c r="H15" s="220"/>
      <c r="I15" s="220"/>
      <c r="J15" s="221"/>
      <c r="K15" s="221"/>
      <c r="L15" s="221"/>
      <c r="M15" s="221"/>
      <c r="N15" s="221"/>
      <c r="O15" s="241"/>
      <c r="P15" s="237"/>
      <c r="Q15" s="228"/>
    </row>
    <row r="16" spans="1:18" ht="18.75" customHeight="1" x14ac:dyDescent="0.6">
      <c r="A16" s="320"/>
      <c r="B16" s="242" t="s">
        <v>70</v>
      </c>
      <c r="C16" s="240">
        <v>182500</v>
      </c>
      <c r="D16" s="220"/>
      <c r="E16" s="220"/>
      <c r="F16" s="220"/>
      <c r="G16" s="221"/>
      <c r="H16" s="220"/>
      <c r="I16" s="220"/>
      <c r="J16" s="221"/>
      <c r="K16" s="221"/>
      <c r="L16" s="221"/>
      <c r="M16" s="221"/>
      <c r="N16" s="221"/>
      <c r="O16" s="241"/>
      <c r="P16" s="237">
        <f t="shared" si="1"/>
        <v>182500</v>
      </c>
      <c r="Q16" s="228"/>
    </row>
    <row r="17" spans="1:17" ht="18.75" customHeight="1" x14ac:dyDescent="0.6">
      <c r="A17" s="325" t="s">
        <v>255</v>
      </c>
      <c r="B17" s="326"/>
      <c r="C17" s="243">
        <f>SUM(C8:C16)</f>
        <v>188980793</v>
      </c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  <c r="O17" s="245"/>
      <c r="P17" s="237">
        <f>SUM(P8:P16)</f>
        <v>380334757</v>
      </c>
      <c r="Q17" s="228"/>
    </row>
    <row r="18" spans="1:17" ht="18.75" customHeight="1" x14ac:dyDescent="0.6">
      <c r="A18" s="320" t="s">
        <v>256</v>
      </c>
      <c r="B18" s="246" t="s">
        <v>189</v>
      </c>
      <c r="C18" s="240"/>
      <c r="D18" s="220"/>
      <c r="E18" s="220"/>
      <c r="F18" s="220"/>
      <c r="G18" s="220"/>
      <c r="H18" s="220"/>
      <c r="I18" s="220"/>
      <c r="J18" s="221"/>
      <c r="K18" s="221"/>
      <c r="L18" s="221"/>
      <c r="M18" s="221"/>
      <c r="N18" s="221"/>
      <c r="O18" s="241"/>
      <c r="P18" s="237">
        <f t="shared" ref="P18:P32" si="2">SUM(C18:O18)</f>
        <v>0</v>
      </c>
      <c r="Q18" s="228"/>
    </row>
    <row r="19" spans="1:17" ht="18.75" customHeight="1" x14ac:dyDescent="0.6">
      <c r="A19" s="320"/>
      <c r="B19" s="239" t="s">
        <v>75</v>
      </c>
      <c r="C19" s="240"/>
      <c r="D19" s="247"/>
      <c r="E19" s="247"/>
      <c r="F19" s="247"/>
      <c r="G19" s="221"/>
      <c r="H19" s="247"/>
      <c r="I19" s="247"/>
      <c r="J19" s="247"/>
      <c r="K19" s="247"/>
      <c r="L19" s="247"/>
      <c r="M19" s="247"/>
      <c r="N19" s="247"/>
      <c r="O19" s="248"/>
      <c r="P19" s="237">
        <f t="shared" si="2"/>
        <v>0</v>
      </c>
      <c r="Q19" s="228"/>
    </row>
    <row r="20" spans="1:17" ht="18.75" customHeight="1" x14ac:dyDescent="0.6">
      <c r="A20" s="320"/>
      <c r="B20" s="249" t="s">
        <v>257</v>
      </c>
      <c r="C20" s="240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8"/>
      <c r="P20" s="237"/>
      <c r="Q20" s="228"/>
    </row>
    <row r="21" spans="1:17" ht="18.75" customHeight="1" x14ac:dyDescent="0.6">
      <c r="A21" s="320"/>
      <c r="B21" s="249" t="s">
        <v>65</v>
      </c>
      <c r="C21" s="236">
        <v>29141883</v>
      </c>
      <c r="D21" s="221"/>
      <c r="E21" s="221"/>
      <c r="F21" s="221"/>
      <c r="G21" s="221"/>
      <c r="H21" s="221"/>
      <c r="I21" s="221"/>
      <c r="J21" s="221"/>
      <c r="K21" s="221"/>
      <c r="L21" s="221"/>
      <c r="M21" s="221"/>
      <c r="N21" s="221"/>
      <c r="O21" s="222"/>
      <c r="P21" s="237">
        <f t="shared" si="2"/>
        <v>29141883</v>
      </c>
      <c r="Q21" s="228"/>
    </row>
    <row r="22" spans="1:17" ht="18.75" customHeight="1" x14ac:dyDescent="0.6">
      <c r="A22" s="320"/>
      <c r="B22" s="249" t="s">
        <v>80</v>
      </c>
      <c r="C22" s="236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8"/>
      <c r="P22" s="237"/>
      <c r="Q22" s="228"/>
    </row>
    <row r="23" spans="1:17" ht="18.75" customHeight="1" x14ac:dyDescent="0.6">
      <c r="A23" s="320"/>
      <c r="B23" s="239" t="s">
        <v>59</v>
      </c>
      <c r="C23" s="236">
        <v>13846797</v>
      </c>
      <c r="D23" s="247">
        <v>7305972</v>
      </c>
      <c r="E23" s="247">
        <v>21833633</v>
      </c>
      <c r="F23" s="247">
        <v>17843398</v>
      </c>
      <c r="G23" s="221">
        <v>3305589</v>
      </c>
      <c r="H23" s="247">
        <v>20804334</v>
      </c>
      <c r="I23" s="247">
        <v>13927512</v>
      </c>
      <c r="J23" s="247">
        <v>4314641</v>
      </c>
      <c r="K23" s="247">
        <v>5476066</v>
      </c>
      <c r="L23" s="247">
        <v>8935208</v>
      </c>
      <c r="M23" s="247">
        <v>6855873</v>
      </c>
      <c r="N23" s="247">
        <v>13154875</v>
      </c>
      <c r="O23" s="248">
        <v>-5541175</v>
      </c>
      <c r="P23" s="237">
        <f t="shared" si="2"/>
        <v>132062723</v>
      </c>
      <c r="Q23" s="228"/>
    </row>
    <row r="24" spans="1:17" ht="18.75" customHeight="1" x14ac:dyDescent="0.6">
      <c r="A24" s="320"/>
      <c r="B24" s="239" t="s">
        <v>216</v>
      </c>
      <c r="C24" s="236">
        <v>20000000</v>
      </c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8"/>
      <c r="P24" s="237">
        <f t="shared" si="2"/>
        <v>20000000</v>
      </c>
      <c r="Q24" s="228"/>
    </row>
    <row r="25" spans="1:17" ht="18.75" customHeight="1" x14ac:dyDescent="0.6">
      <c r="A25" s="320"/>
      <c r="B25" s="239" t="s">
        <v>76</v>
      </c>
      <c r="C25" s="236">
        <v>149600</v>
      </c>
      <c r="D25" s="247"/>
      <c r="E25" s="247"/>
      <c r="F25" s="247"/>
      <c r="G25" s="221"/>
      <c r="H25" s="247"/>
      <c r="I25" s="247"/>
      <c r="J25" s="247"/>
      <c r="K25" s="247"/>
      <c r="L25" s="247"/>
      <c r="M25" s="247"/>
      <c r="N25" s="247"/>
      <c r="O25" s="248"/>
      <c r="P25" s="237">
        <f t="shared" si="2"/>
        <v>149600</v>
      </c>
      <c r="Q25" s="228"/>
    </row>
    <row r="26" spans="1:17" ht="18.75" customHeight="1" x14ac:dyDescent="0.6">
      <c r="A26" s="320"/>
      <c r="B26" s="249" t="s">
        <v>258</v>
      </c>
      <c r="C26" s="236"/>
      <c r="D26" s="247"/>
      <c r="E26" s="247"/>
      <c r="F26" s="247"/>
      <c r="G26" s="221"/>
      <c r="H26" s="247"/>
      <c r="I26" s="247"/>
      <c r="J26" s="247"/>
      <c r="K26" s="247"/>
      <c r="L26" s="247"/>
      <c r="M26" s="247"/>
      <c r="N26" s="247"/>
      <c r="O26" s="248"/>
      <c r="P26" s="237"/>
      <c r="Q26" s="228"/>
    </row>
    <row r="27" spans="1:17" ht="18.75" customHeight="1" x14ac:dyDescent="0.6">
      <c r="A27" s="320"/>
      <c r="B27" s="239" t="s">
        <v>69</v>
      </c>
      <c r="C27" s="236">
        <v>27000000</v>
      </c>
      <c r="D27" s="247"/>
      <c r="E27" s="247"/>
      <c r="F27" s="247"/>
      <c r="G27" s="221"/>
      <c r="H27" s="247"/>
      <c r="I27" s="247"/>
      <c r="J27" s="247"/>
      <c r="K27" s="247"/>
      <c r="L27" s="247"/>
      <c r="M27" s="247"/>
      <c r="N27" s="247"/>
      <c r="O27" s="248"/>
      <c r="P27" s="237"/>
      <c r="Q27" s="228"/>
    </row>
    <row r="28" spans="1:17" ht="18.75" customHeight="1" x14ac:dyDescent="0.6">
      <c r="A28" s="320"/>
      <c r="B28" s="239" t="s">
        <v>72</v>
      </c>
      <c r="C28" s="236">
        <v>443420</v>
      </c>
      <c r="D28" s="247"/>
      <c r="E28" s="247"/>
      <c r="F28" s="247"/>
      <c r="G28" s="221"/>
      <c r="H28" s="247"/>
      <c r="I28" s="247"/>
      <c r="J28" s="247"/>
      <c r="K28" s="247"/>
      <c r="L28" s="247"/>
      <c r="M28" s="247"/>
      <c r="N28" s="247"/>
      <c r="O28" s="248"/>
      <c r="P28" s="237">
        <f t="shared" si="2"/>
        <v>443420</v>
      </c>
      <c r="Q28" s="228"/>
    </row>
    <row r="29" spans="1:17" ht="18.75" customHeight="1" x14ac:dyDescent="0.6">
      <c r="A29" s="320"/>
      <c r="B29" s="250" t="s">
        <v>37</v>
      </c>
      <c r="C29" s="236"/>
      <c r="D29" s="221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2"/>
      <c r="P29" s="237"/>
      <c r="Q29" s="228"/>
    </row>
    <row r="30" spans="1:17" ht="18.75" customHeight="1" x14ac:dyDescent="0.6">
      <c r="A30" s="320"/>
      <c r="B30" s="251" t="s">
        <v>259</v>
      </c>
      <c r="C30" s="236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2"/>
      <c r="P30" s="237"/>
      <c r="Q30" s="228"/>
    </row>
    <row r="31" spans="1:17" ht="18.75" customHeight="1" x14ac:dyDescent="0.6">
      <c r="A31" s="320"/>
      <c r="B31" s="235" t="s">
        <v>67</v>
      </c>
      <c r="C31" s="236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2"/>
      <c r="P31" s="237"/>
      <c r="Q31" s="228"/>
    </row>
    <row r="32" spans="1:17" ht="18.75" customHeight="1" x14ac:dyDescent="0.6">
      <c r="A32" s="320"/>
      <c r="B32" s="239" t="s">
        <v>66</v>
      </c>
      <c r="C32" s="236">
        <v>13756220</v>
      </c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2"/>
      <c r="P32" s="237">
        <f t="shared" si="2"/>
        <v>13756220</v>
      </c>
      <c r="Q32" s="228"/>
    </row>
    <row r="33" spans="1:18" ht="18.75" customHeight="1" x14ac:dyDescent="0.6">
      <c r="A33" s="320"/>
      <c r="B33" s="235" t="s">
        <v>74</v>
      </c>
      <c r="C33" s="236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8"/>
      <c r="P33" s="237">
        <f>SUM(P18:P32)</f>
        <v>195553846</v>
      </c>
      <c r="Q33" s="228"/>
    </row>
    <row r="34" spans="1:18" ht="18.75" customHeight="1" x14ac:dyDescent="0.6">
      <c r="A34" s="320"/>
      <c r="B34" s="235" t="s">
        <v>217</v>
      </c>
      <c r="C34" s="236">
        <v>8000</v>
      </c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2"/>
      <c r="P34" s="237"/>
      <c r="Q34" s="228"/>
    </row>
    <row r="35" spans="1:18" ht="18.75" customHeight="1" x14ac:dyDescent="0.6">
      <c r="A35" s="320"/>
      <c r="B35" s="235" t="s">
        <v>82</v>
      </c>
      <c r="C35" s="240">
        <v>1501167241</v>
      </c>
      <c r="D35" s="220"/>
      <c r="E35" s="220"/>
      <c r="F35" s="220"/>
      <c r="G35" s="220"/>
      <c r="H35" s="220"/>
      <c r="I35" s="220"/>
      <c r="J35" s="221"/>
      <c r="K35" s="221"/>
      <c r="L35" s="221"/>
      <c r="M35" s="221"/>
      <c r="N35" s="221"/>
      <c r="O35" s="241"/>
      <c r="P35" s="237">
        <f t="shared" ref="P35" si="3">SUM(C35:O35)</f>
        <v>1501167241</v>
      </c>
      <c r="Q35" s="228"/>
    </row>
    <row r="36" spans="1:18" ht="18.75" customHeight="1" x14ac:dyDescent="0.6">
      <c r="A36" s="320"/>
      <c r="B36" s="235" t="s">
        <v>44</v>
      </c>
      <c r="C36" s="240">
        <v>3056900</v>
      </c>
      <c r="D36" s="220"/>
      <c r="E36" s="220"/>
      <c r="F36" s="220"/>
      <c r="G36" s="221"/>
      <c r="H36" s="220"/>
      <c r="I36" s="220"/>
      <c r="J36" s="221"/>
      <c r="K36" s="221"/>
      <c r="L36" s="221"/>
      <c r="M36" s="221"/>
      <c r="N36" s="221"/>
      <c r="O36" s="241"/>
      <c r="P36" s="237"/>
      <c r="Q36" s="228"/>
    </row>
    <row r="37" spans="1:18" ht="18.75" customHeight="1" x14ac:dyDescent="0.6">
      <c r="A37" s="320"/>
      <c r="B37" s="235" t="s">
        <v>78</v>
      </c>
      <c r="C37" s="240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8"/>
      <c r="P37" s="237"/>
      <c r="Q37" s="228"/>
    </row>
    <row r="38" spans="1:18" ht="18.75" customHeight="1" x14ac:dyDescent="0.6">
      <c r="A38" s="325" t="s">
        <v>260</v>
      </c>
      <c r="B38" s="326"/>
      <c r="C38" s="243">
        <f t="shared" ref="C38:P38" si="4">SUM(C18:C37)</f>
        <v>1608570061</v>
      </c>
      <c r="D38" s="244"/>
      <c r="E38" s="244"/>
      <c r="F38" s="244"/>
      <c r="G38" s="244"/>
      <c r="H38" s="244"/>
      <c r="I38" s="244"/>
      <c r="J38" s="244"/>
      <c r="K38" s="244"/>
      <c r="L38" s="244"/>
      <c r="M38" s="244"/>
      <c r="N38" s="244"/>
      <c r="O38" s="245"/>
      <c r="P38" s="237">
        <f t="shared" si="4"/>
        <v>1892274933</v>
      </c>
    </row>
    <row r="39" spans="1:18" ht="18.75" customHeight="1" x14ac:dyDescent="0.6">
      <c r="A39" s="317" t="s">
        <v>261</v>
      </c>
      <c r="B39" s="318"/>
      <c r="C39" s="252">
        <f t="shared" ref="C39:P39" si="5">C17+C38</f>
        <v>1797550854</v>
      </c>
      <c r="D39" s="253"/>
      <c r="E39" s="253"/>
      <c r="F39" s="253"/>
      <c r="G39" s="253"/>
      <c r="H39" s="253"/>
      <c r="I39" s="253"/>
      <c r="J39" s="253"/>
      <c r="K39" s="253"/>
      <c r="L39" s="253"/>
      <c r="M39" s="253"/>
      <c r="N39" s="253"/>
      <c r="O39" s="254"/>
      <c r="P39" s="237">
        <f t="shared" si="5"/>
        <v>2272609690</v>
      </c>
      <c r="Q39" s="228"/>
    </row>
    <row r="40" spans="1:18" x14ac:dyDescent="0.6">
      <c r="C40" s="18"/>
      <c r="P40" s="255"/>
    </row>
    <row r="41" spans="1:18" s="259" customFormat="1" ht="18.75" customHeight="1" x14ac:dyDescent="0.6">
      <c r="A41" s="319" t="s">
        <v>262</v>
      </c>
      <c r="B41" s="319"/>
      <c r="C41" s="256">
        <f t="shared" ref="C41:P41" si="6">C7-C39</f>
        <v>4314071588</v>
      </c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37">
        <f t="shared" si="6"/>
        <v>-2272609690</v>
      </c>
      <c r="Q41" s="257"/>
      <c r="R41" s="258"/>
    </row>
    <row r="42" spans="1:18" s="259" customFormat="1" ht="13.5" customHeight="1" x14ac:dyDescent="0.6">
      <c r="D42" s="260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1"/>
    </row>
    <row r="43" spans="1:18" s="259" customFormat="1" ht="18" customHeight="1" x14ac:dyDescent="0.6">
      <c r="B43" s="262">
        <v>7.0000000000000007E-2</v>
      </c>
      <c r="D43" s="263"/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1"/>
    </row>
    <row r="44" spans="1:18" s="259" customFormat="1" ht="13.5" customHeight="1" x14ac:dyDescent="0.6">
      <c r="E44" s="263"/>
      <c r="F44" s="263"/>
      <c r="G44" s="263"/>
      <c r="H44" s="263"/>
      <c r="I44" s="263"/>
      <c r="J44" s="263"/>
      <c r="K44" s="263"/>
      <c r="L44" s="263"/>
      <c r="M44" s="263"/>
      <c r="N44" s="263"/>
      <c r="O44" s="263"/>
      <c r="P44" s="260"/>
    </row>
    <row r="45" spans="1:18" s="259" customFormat="1" ht="18" customHeight="1" x14ac:dyDescent="0.6">
      <c r="D45" s="258"/>
      <c r="E45" s="258"/>
      <c r="F45" s="258"/>
      <c r="G45" s="258"/>
      <c r="H45" s="258"/>
      <c r="I45" s="258"/>
      <c r="J45" s="258"/>
      <c r="K45" s="258"/>
      <c r="L45" s="258"/>
      <c r="M45" s="258"/>
      <c r="N45" s="258"/>
      <c r="O45" s="258"/>
      <c r="P45" s="260"/>
    </row>
    <row r="46" spans="1:18" s="259" customFormat="1" x14ac:dyDescent="0.6">
      <c r="D46" s="258"/>
      <c r="E46" s="258"/>
      <c r="F46" s="258"/>
      <c r="G46" s="258"/>
      <c r="H46" s="258"/>
      <c r="I46" s="258"/>
      <c r="J46" s="258"/>
      <c r="K46" s="260"/>
      <c r="L46" s="260"/>
      <c r="M46" s="260"/>
      <c r="N46" s="260"/>
      <c r="O46" s="260"/>
      <c r="P46" s="260"/>
    </row>
    <row r="47" spans="1:18" s="259" customFormat="1" x14ac:dyDescent="0.6"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</row>
    <row r="48" spans="1:18" s="259" customFormat="1" x14ac:dyDescent="0.6">
      <c r="D48" s="258"/>
      <c r="E48" s="258"/>
      <c r="F48" s="258"/>
      <c r="G48" s="258"/>
      <c r="H48" s="258"/>
      <c r="I48" s="258"/>
      <c r="J48" s="258"/>
      <c r="K48" s="260"/>
      <c r="L48" s="260"/>
      <c r="M48" s="260"/>
      <c r="N48" s="260"/>
      <c r="O48" s="260"/>
      <c r="P48" s="260"/>
    </row>
    <row r="49" spans="4:16" s="264" customFormat="1" x14ac:dyDescent="0.6">
      <c r="D49" s="263"/>
      <c r="E49" s="263"/>
      <c r="F49" s="263"/>
      <c r="G49" s="263"/>
      <c r="H49" s="263"/>
      <c r="I49" s="263"/>
      <c r="J49" s="263"/>
      <c r="K49" s="263"/>
      <c r="L49" s="263"/>
      <c r="M49" s="263"/>
      <c r="N49" s="263"/>
      <c r="O49" s="263"/>
      <c r="P49" s="263"/>
    </row>
  </sheetData>
  <mergeCells count="8">
    <mergeCell ref="A39:B39"/>
    <mergeCell ref="A41:B41"/>
    <mergeCell ref="A2:A6"/>
    <mergeCell ref="A7:B7"/>
    <mergeCell ref="A8:A16"/>
    <mergeCell ref="A17:B17"/>
    <mergeCell ref="A18:A37"/>
    <mergeCell ref="A38:B38"/>
  </mergeCells>
  <phoneticPr fontId="2" type="noConversion"/>
  <hyperlinks>
    <hyperlink ref="A7:B7" r:id="rId1" location="입금현황!A1" display="소계" xr:uid="{34CA0E00-F493-4872-A9CE-9FC50A2B9624}"/>
  </hyperlinks>
  <pageMargins left="0.51181102362204722" right="0.70866141732283472" top="0.74803149606299213" bottom="0.15748031496062992" header="0.31496062992125984" footer="0.31496062992125984"/>
  <pageSetup paperSize="9" scale="7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재무리포트_대시보드</vt:lpstr>
      <vt:lpstr>20~25년 정리표</vt:lpstr>
      <vt:lpstr>2020년-통장</vt:lpstr>
      <vt:lpstr>CASH FLOW-2020년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민균 김</dc:creator>
  <cp:lastModifiedBy>철민 배</cp:lastModifiedBy>
  <dcterms:created xsi:type="dcterms:W3CDTF">2025-05-21T22:56:24Z</dcterms:created>
  <dcterms:modified xsi:type="dcterms:W3CDTF">2025-06-10T21:51:12Z</dcterms:modified>
</cp:coreProperties>
</file>